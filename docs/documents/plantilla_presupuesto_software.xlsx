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c943bc895546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c5fe6b6b40964858"/>
    <x:sheet xmlns:r="http://schemas.openxmlformats.org/officeDocument/2006/relationships" name="Detalle" sheetId="2" r:id="R22fde9483a93427e"/>
    <x:sheet xmlns:r="http://schemas.openxmlformats.org/officeDocument/2006/relationships" name="Parametros" sheetId="3" r:id="R562ebbc9cd5a4c30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B8" authorId="0">
      <x:text>
        <x:r>
          <x:t>Cambie la moneda o escriba la abreviatura requerida por el cliente.</x:t>
        </x:r>
      </x:text>
    </x:comment>
    <x:comment ref="F34" authorId="0">
      <x:text>
        <x:r>
          <x:t>El total se calcula como subtotal servicios + costos adicionales + impuesto.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0.0"/>
    <x:numFmt numFmtId="165" formatCode="$ #,##0.00;[Red]($ #,##0.00);-"/>
    <x:numFmt numFmtId="166" formatCode="0.0%"/>
  </x:numFmts>
  <x:fonts count="6">
    <x:font>
      <x:sz val="11"/>
      <x:color theme="1"/>
      <x:name val="Calibri"/>
      <x:family val="2"/>
      <x:scheme val="minor"/>
    </x:font>
    <x:font>
      <x:b/>
      <x:sz val="15"/>
      <x:color rgb="001F4E78"/>
    </x:font>
    <x:font>
      <x:b/>
    </x:font>
    <x:font>
      <x:color rgb="000000FF"/>
    </x:font>
    <x:font>
      <x:b/>
      <x:sz val="11"/>
      <x:color rgb="00FFFFFF"/>
    </x:font>
    <x:font>
      <x:color rgb="00000000"/>
    </x:font>
  </x:fonts>
  <x:fills count="6">
    <x:fill>
      <x:patternFill patternType="none"/>
    </x:fill>
    <x:fill>
      <x:patternFill patternType="gray125"/>
    </x:fill>
    <x:fill>
      <x:patternFill patternType="solid">
        <x:fgColor rgb="00FFF2CC"/>
      </x:patternFill>
    </x:fill>
    <x:fill>
      <x:patternFill patternType="solid">
        <x:fgColor rgb="001F4E78"/>
      </x:patternFill>
    </x:fill>
    <x:fill>
      <x:patternFill patternType="solid">
        <x:fgColor rgb="00D9E1F2"/>
      </x:patternFill>
    </x:fill>
    <x:fill>
      <x:patternFill patternType="solid">
        <x:fgColor rgb="00E2F0D9"/>
      </x:patternFill>
    </x:fill>
  </x:fills>
  <x:borders count="2">
    <x:border>
      <x:left/>
      <x:right/>
      <x:top/>
      <x:bottom/>
      <x:diagonal/>
    </x:border>
    <x:border>
      <x:top style="medium">
        <x:color rgb="001F4E78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/>
    <x:xf numFmtId="0" fontId="2" fillId="0" borderId="0" xfId="0"/>
    <x:xf numFmtId="0" fontId="3" fillId="2" borderId="0" xfId="0"/>
    <x:xf numFmtId="0" fontId="4" fillId="3" borderId="0" xfId="0" applyAlignment="1">
      <x:alignment horizontal="center"/>
    </x:xf>
    <x:xf numFmtId="164" fontId="5" fillId="0" borderId="0" xfId="0"/>
    <x:xf numFmtId="165" fontId="5" fillId="0" borderId="0" xfId="0"/>
    <x:xf numFmtId="166" fontId="5" fillId="0" borderId="0" xfId="0"/>
    <x:xf numFmtId="0" fontId="2" fillId="4" borderId="1" xfId="0"/>
    <x:xf numFmtId="164" fontId="0" fillId="4" borderId="1" xfId="0"/>
    <x:xf numFmtId="0" fontId="0" fillId="4" borderId="1" xfId="0"/>
    <x:xf numFmtId="165" fontId="0" fillId="4" borderId="1" xfId="0"/>
    <x:xf numFmtId="166" fontId="0" fillId="4" borderId="1" xfId="0"/>
    <x:xf numFmtId="0" fontId="2" fillId="5" borderId="0" xfId="0"/>
    <x:xf numFmtId="165" fontId="3" fillId="2" borderId="0" xfId="0"/>
    <x:xf numFmtId="165" fontId="0" fillId="0" borderId="0" xfId="0"/>
    <x:xf numFmtId="0" fontId="2" fillId="4" borderId="0" xfId="0"/>
    <x:xf numFmtId="165" fontId="2" fillId="4" borderId="0" xfId="0"/>
    <x:xf numFmtId="0" fontId="4" fillId="3" borderId="0" xfId="0"/>
    <x:xf numFmtId="165" fontId="4" fillId="3" borderId="0" xfId="0"/>
    <x:xf numFmtId="166" fontId="3" fillId="2" borderId="0" xfId="0"/>
    <x:xf numFmtId="166" fontId="0" fillId="0" borderId="0" xfId="0"/>
    <x:xf numFmtId="164" fontId="3" fillId="2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18a2883361471d" /><Relationship Type="http://schemas.openxmlformats.org/officeDocument/2006/relationships/theme" Target="/xl/theme/theme1.xml" Id="R5ac4874f5b0d4c53" /><Relationship Type="http://schemas.openxmlformats.org/officeDocument/2006/relationships/sharedStrings" Target="/xl/sharedStrings.xml" Id="R95744359e8704b83" /><Relationship Type="http://schemas.openxmlformats.org/officeDocument/2006/relationships/worksheet" Target="/xl/worksheets/sheet1.xml" Id="Rc5fe6b6b40964858" /><Relationship Type="http://schemas.openxmlformats.org/officeDocument/2006/relationships/worksheet" Target="/xl/worksheets/sheet2.xml" Id="R22fde9483a93427e" /><Relationship Type="http://schemas.openxmlformats.org/officeDocument/2006/relationships/worksheet" Target="/xl/worksheets/sheet3.xml" Id="R562ebbc9cd5a4c30" /><Relationship Type="http://schemas.microsoft.com/office/2017/10/relationships/person" Target="/xl/persons/person.xml" Id="R4180964fba4148d5" /></Relationships>
</file>

<file path=xl/persons/person.xml><?xml version="1.0" encoding="utf-8"?>
<xltc:personList xmlns:xltc="http://schemas.microsoft.com/office/spreadsheetml/2018/threadedcomments">
  <xltc:person displayName="OpenAI" id="{8DFA75A3-7DB9-C35E-C0DC-411676B3B942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eced455c65c840e8" /><Relationship Type="http://schemas.openxmlformats.org/officeDocument/2006/relationships/vmlDrawing" Target="/xl/drawings/vmldrawing.vml" Id="R25ea6ff3419b4b48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34" customWidth="1"/>
    <x:col min="2" max="2" width="18" customWidth="1"/>
    <x:col min="3" max="3" width="16" customWidth="1"/>
    <x:col min="4" max="4" width="16" customWidth="1"/>
    <x:col min="5" max="5" width="18" customWidth="1"/>
    <x:col min="6" max="6" width="18" customWidth="1"/>
  </x:cols>
  <x:sheetData>
    <x:row r="1">
      <x:c r="A1" s="1" t="inlineStr">
        <x:is>
          <x:t xml:space="preserve">PLANTILLA DE PRESUPUESTO DE PROYECTO DE SOFTWARE</x:t>
        </x:is>
      </x:c>
    </x:row>
    <x:row r="3">
      <x:c r="A3" s="2" t="inlineStr">
        <x:is>
          <x:t xml:space="preserve">Proyecto</x:t>
        </x:is>
      </x:c>
      <x:c r="B3" s="3" t="inlineStr">
        <x:is>
          <x:t xml:space="preserve">Sistema de gestión</x:t>
        </x:is>
      </x:c>
    </x:row>
    <x:row r="4">
      <x:c r="A4" s="2" t="inlineStr">
        <x:is>
          <x:t xml:space="preserve">Cliente</x:t>
        </x:is>
      </x:c>
      <x:c r="B4" s="3" t="inlineStr">
        <x:is>
          <x:t xml:space="preserve">Nombre del cliente</x:t>
        </x:is>
      </x:c>
    </x:row>
    <x:row r="5">
      <x:c r="A5" s="2" t="inlineStr">
        <x:is>
          <x:t xml:space="preserve">Proveedor</x:t>
        </x:is>
      </x:c>
      <x:c r="B5" s="3" t="inlineStr">
        <x:is>
          <x:t xml:space="preserve">Empresa / Consultor</x:t>
        </x:is>
      </x:c>
    </x:row>
    <x:row r="6">
      <x:c r="A6" s="2" t="inlineStr">
        <x:is>
          <x:t xml:space="preserve">Fecha</x:t>
        </x:is>
      </x:c>
      <x:c r="B6" s="3" t="inlineStr">
        <x:is>
          <x:t xml:space="preserve">2026-03-27</x:t>
        </x:is>
      </x:c>
    </x:row>
    <x:row r="7">
      <x:c r="A7" s="2" t="inlineStr">
        <x:is>
          <x:t xml:space="preserve">Duración estimada</x:t>
        </x:is>
      </x:c>
      <x:c r="B7" s="3" t="inlineStr">
        <x:is>
          <x:t xml:space="preserve">12 semanas</x:t>
        </x:is>
      </x:c>
    </x:row>
    <x:row r="8">
      <x:c r="A8" s="2" t="inlineStr">
        <x:is>
          <x:t xml:space="preserve">Moneda</x:t>
        </x:is>
      </x:c>
      <x:c r="B8" s="3" t="inlineStr">
        <x:is>
          <x:t xml:space="preserve">USD</x:t>
        </x:is>
      </x:c>
    </x:row>
    <x:row r="11">
      <x:c r="A11" s="4" t="inlineStr">
        <x:is>
          <x:t xml:space="preserve">Componente</x:t>
        </x:is>
      </x:c>
      <x:c r="B11" s="4" t="inlineStr">
        <x:is>
          <x:t xml:space="preserve">Horas</x:t>
        </x:is>
      </x:c>
      <x:c r="C11" s="4" t="inlineStr">
        <x:is>
          <x:t xml:space="preserve">Tarifa promedio</x:t>
        </x:is>
      </x:c>
      <x:c r="D11" s="4" t="inlineStr">
        <x:is>
          <x:t xml:space="preserve">Costo base</x:t>
        </x:is>
      </x:c>
      <x:c r="E11" s="4" t="inlineStr">
        <x:is>
          <x:t xml:space="preserve">% Contingencia</x:t>
        </x:is>
      </x:c>
      <x:c r="F11" s="4" t="inlineStr">
        <x:is>
          <x:t xml:space="preserve">Total</x:t>
        </x:is>
      </x:c>
    </x:row>
    <x:row r="12">
      <x:c r="A12" t="inlineStr">
        <x:is>
          <x:t xml:space="preserve">Análisis y diseño</x:t>
        </x:is>
      </x:c>
      <x:c r="B12" s="5">
        <x:f>SUMIF(Detalle!$B:$B,"Analista",Detalle!$C:$C)</x:f>
        <x:v>55</x:v>
      </x:c>
      <x:c r="C12" s="6">
        <x:f>IFERROR(SUMIF(Detalle!$B:$B,"Analista",Detalle!$E:$E)/SUMIF(Detalle!$B:$B,"Analista",Detalle!$C:$C),0)</x:f>
        <x:v>35</x:v>
      </x:c>
      <x:c r="D12" s="6">
        <x:f>SUMIF(Detalle!$B:$B,"Analista",Detalle!$E:$E)</x:f>
        <x:v>1925</x:v>
      </x:c>
      <x:c r="E12" s="7">
        <x:f>Parametros!$B$10</x:f>
        <x:v>0.1</x:v>
      </x:c>
      <x:c r="F12" s="6">
        <x:f>D12*(1+E12)</x:f>
        <x:v>2117.5</x:v>
      </x:c>
    </x:row>
    <x:row r="13">
      <x:c r="A13" t="inlineStr">
        <x:is>
          <x:t xml:space="preserve">Diseño UI/UX</x:t>
        </x:is>
      </x:c>
      <x:c r="B13" s="5">
        <x:f>SUMIF(Detalle!$B:$B,"Diseñador UI/UX",Detalle!$C:$C)</x:f>
        <x:v>40</x:v>
      </x:c>
      <x:c r="C13" s="6">
        <x:f>IFERROR(SUMIF(Detalle!$B:$B,"Diseñador UI/UX",Detalle!$E:$E)/SUMIF(Detalle!$B:$B,"Diseñador UI/UX",Detalle!$C:$C),0)</x:f>
        <x:v>30</x:v>
      </x:c>
      <x:c r="D13" s="6">
        <x:f>SUMIF(Detalle!$B:$B,"Diseñador UI/UX",Detalle!$E:$E)</x:f>
        <x:v>1200</x:v>
      </x:c>
      <x:c r="E13" s="7">
        <x:f>Parametros!$B$10</x:f>
        <x:v>0.1</x:v>
      </x:c>
      <x:c r="F13" s="6">
        <x:f>D13*(1+E13)</x:f>
        <x:v>1320</x:v>
      </x:c>
    </x:row>
    <x:row r="14">
      <x:c r="A14" t="inlineStr">
        <x:is>
          <x:t xml:space="preserve">Desarrollo backend</x:t>
        </x:is>
      </x:c>
      <x:c r="B14" s="5">
        <x:f>SUMIF(Detalle!$B:$B,"Desarrollador Backend",Detalle!$C:$C)</x:f>
        <x:v>120</x:v>
      </x:c>
      <x:c r="C14" s="6">
        <x:f>IFERROR(SUMIF(Detalle!$B:$B,"Desarrollador Backend",Detalle!$E:$E)/SUMIF(Detalle!$B:$B,"Desarrollador Backend",Detalle!$C:$C),0)</x:f>
        <x:v>40</x:v>
      </x:c>
      <x:c r="D14" s="6">
        <x:f>SUMIF(Detalle!$B:$B,"Desarrollador Backend",Detalle!$E:$E)</x:f>
        <x:v>4800</x:v>
      </x:c>
      <x:c r="E14" s="7">
        <x:f>Parametros!$B$10</x:f>
        <x:v>0.1</x:v>
      </x:c>
      <x:c r="F14" s="6">
        <x:f>D14*(1+E14)</x:f>
        <x:v>5280</x:v>
      </x:c>
    </x:row>
    <x:row r="15">
      <x:c r="A15" t="inlineStr">
        <x:is>
          <x:t xml:space="preserve">Desarrollo frontend</x:t>
        </x:is>
      </x:c>
      <x:c r="B15" s="5">
        <x:f>SUMIF(Detalle!$B:$B,"Desarrollador Frontend",Detalle!$C:$C)</x:f>
        <x:v>100</x:v>
      </x:c>
      <x:c r="C15" s="6">
        <x:f>IFERROR(SUMIF(Detalle!$B:$B,"Desarrollador Frontend",Detalle!$E:$E)/SUMIF(Detalle!$B:$B,"Desarrollador Frontend",Detalle!$C:$C),0)</x:f>
        <x:v>35</x:v>
      </x:c>
      <x:c r="D15" s="6">
        <x:f>SUMIF(Detalle!$B:$B,"Desarrollador Frontend",Detalle!$E:$E)</x:f>
        <x:v>3500</x:v>
      </x:c>
      <x:c r="E15" s="7">
        <x:f>Parametros!$B$10</x:f>
        <x:v>0.1</x:v>
      </x:c>
      <x:c r="F15" s="6">
        <x:f>D15*(1+E15)</x:f>
        <x:v>3850.0000000000005</x:v>
      </x:c>
    </x:row>
    <x:row r="16">
      <x:c r="A16" t="inlineStr">
        <x:is>
          <x:t xml:space="preserve">Base de datos</x:t>
        </x:is>
      </x:c>
      <x:c r="B16" s="5">
        <x:f>SUMIF(Detalle!$B:$B,"DBA / Arquitectura",Detalle!$C:$C)</x:f>
        <x:v>25</x:v>
      </x:c>
      <x:c r="C16" s="6">
        <x:f>IFERROR(SUMIF(Detalle!$B:$B,"DBA / Arquitectura",Detalle!$E:$E)/SUMIF(Detalle!$B:$B,"DBA / Arquitectura",Detalle!$C:$C),0)</x:f>
        <x:v>38</x:v>
      </x:c>
      <x:c r="D16" s="6">
        <x:f>SUMIF(Detalle!$B:$B,"DBA / Arquitectura",Detalle!$E:$E)</x:f>
        <x:v>950</x:v>
      </x:c>
      <x:c r="E16" s="7">
        <x:f>Parametros!$B$10</x:f>
        <x:v>0.1</x:v>
      </x:c>
      <x:c r="F16" s="6">
        <x:f>D16*(1+E16)</x:f>
        <x:v>1045</x:v>
      </x:c>
    </x:row>
    <x:row r="17">
      <x:c r="A17" t="inlineStr">
        <x:is>
          <x:t xml:space="preserve">Integraciones</x:t>
        </x:is>
      </x:c>
      <x:c r="B17" s="5">
        <x:f>SUMIF(Detalle!$B:$B,"Integraciones",Detalle!$C:$C)</x:f>
        <x:v>35</x:v>
      </x:c>
      <x:c r="C17" s="6">
        <x:f>IFERROR(SUMIF(Detalle!$B:$B,"Integraciones",Detalle!$E:$E)/SUMIF(Detalle!$B:$B,"Integraciones",Detalle!$C:$C),0)</x:f>
        <x:v>42</x:v>
      </x:c>
      <x:c r="D17" s="6">
        <x:f>SUMIF(Detalle!$B:$B,"Integraciones",Detalle!$E:$E)</x:f>
        <x:v>1470</x:v>
      </x:c>
      <x:c r="E17" s="7">
        <x:f>Parametros!$B$10</x:f>
        <x:v>0.1</x:v>
      </x:c>
      <x:c r="F17" s="6">
        <x:f>D17*(1+E17)</x:f>
        <x:v>1617.0000000000002</x:v>
      </x:c>
    </x:row>
    <x:row r="18">
      <x:c r="A18" t="inlineStr">
        <x:is>
          <x:t xml:space="preserve">QA y pruebas</x:t>
        </x:is>
      </x:c>
      <x:c r="B18" s="5">
        <x:f>SUMIF(Detalle!$B:$B,"QA",Detalle!$C:$C)</x:f>
        <x:v>40</x:v>
      </x:c>
      <x:c r="C18" s="6">
        <x:f>IFERROR(SUMIF(Detalle!$B:$B,"QA",Detalle!$E:$E)/SUMIF(Detalle!$B:$B,"QA",Detalle!$C:$C),0)</x:f>
        <x:v>28</x:v>
      </x:c>
      <x:c r="D18" s="6">
        <x:f>SUMIF(Detalle!$B:$B,"QA",Detalle!$E:$E)</x:f>
        <x:v>1120</x:v>
      </x:c>
      <x:c r="E18" s="7">
        <x:f>Parametros!$B$10</x:f>
        <x:v>0.1</x:v>
      </x:c>
      <x:c r="F18" s="6">
        <x:f>D18*(1+E18)</x:f>
        <x:v>1232</x:v>
      </x:c>
    </x:row>
    <x:row r="19">
      <x:c r="A19" t="inlineStr">
        <x:is>
          <x:t xml:space="preserve">Despliegue</x:t>
        </x:is>
      </x:c>
      <x:c r="B19" s="5">
        <x:f>SUMIF(Detalle!$B:$B,"DevOps",Detalle!$C:$C)</x:f>
        <x:v>20</x:v>
      </x:c>
      <x:c r="C19" s="6">
        <x:f>IFERROR(SUMIF(Detalle!$B:$B,"DevOps",Detalle!$E:$E)/SUMIF(Detalle!$B:$B,"DevOps",Detalle!$C:$C),0)</x:f>
        <x:v>45</x:v>
      </x:c>
      <x:c r="D19" s="6">
        <x:f>SUMIF(Detalle!$B:$B,"DevOps",Detalle!$E:$E)</x:f>
        <x:v>900</x:v>
      </x:c>
      <x:c r="E19" s="7">
        <x:f>Parametros!$B$10</x:f>
        <x:v>0.1</x:v>
      </x:c>
      <x:c r="F19" s="6">
        <x:f>D19*(1+E19)</x:f>
        <x:v>990.0000000000001</x:v>
      </x:c>
    </x:row>
    <x:row r="20">
      <x:c r="A20" t="inlineStr">
        <x:is>
          <x:t xml:space="preserve">Documentación y capacitación</x:t>
        </x:is>
      </x:c>
      <x:c r="B20" s="5">
        <x:f>SUMIF(Detalle!$B:$B,"Documentación",Detalle!$C:$C)</x:f>
        <x:v>20</x:v>
      </x:c>
      <x:c r="C20" s="6">
        <x:f>IFERROR(SUMIF(Detalle!$B:$B,"Documentación",Detalle!$E:$E)/SUMIF(Detalle!$B:$B,"Documentación",Detalle!$C:$C),0)</x:f>
        <x:v>25</x:v>
      </x:c>
      <x:c r="D20" s="6">
        <x:f>SUMIF(Detalle!$B:$B,"Documentación",Detalle!$E:$E)</x:f>
        <x:v>500</x:v>
      </x:c>
      <x:c r="E20" s="7">
        <x:f>Parametros!$B$10</x:f>
        <x:v>0.1</x:v>
      </x:c>
      <x:c r="F20" s="6">
        <x:f>D20*(1+E20)</x:f>
        <x:v>550</x:v>
      </x:c>
    </x:row>
    <x:row r="21">
      <x:c r="A21" t="inlineStr">
        <x:is>
          <x:t xml:space="preserve">Gestión del proyecto</x:t>
        </x:is>
      </x:c>
      <x:c r="B21" s="5">
        <x:f>SUMIF(Detalle!$B:$B,"Líder de proyecto",Detalle!$C:$C)</x:f>
        <x:v>30</x:v>
      </x:c>
      <x:c r="C21" s="6">
        <x:f>IFERROR(SUMIF(Detalle!$B:$B,"Líder de proyecto",Detalle!$E:$E)/SUMIF(Detalle!$B:$B,"Líder de proyecto",Detalle!$C:$C),0)</x:f>
        <x:v>45</x:v>
      </x:c>
      <x:c r="D21" s="6">
        <x:f>SUMIF(Detalle!$B:$B,"Líder de proyecto",Detalle!$E:$E)</x:f>
        <x:v>1350</x:v>
      </x:c>
      <x:c r="E21" s="7">
        <x:f>Parametros!$B$10</x:f>
        <x:v>0.1</x:v>
      </x:c>
      <x:c r="F21" s="6">
        <x:f>D21*(1+E21)</x:f>
        <x:v>1485.0000000000002</x:v>
      </x:c>
    </x:row>
    <x:row r="22">
      <x:c r="A22" s="8" t="inlineStr">
        <x:is>
          <x:t xml:space="preserve">Subtotal servicios</x:t>
        </x:is>
      </x:c>
      <x:c r="B22" s="9">
        <x:f>SUM(B12:B21)</x:f>
        <x:v>485</x:v>
      </x:c>
      <x:c r="C22" s="10" t="n"/>
      <x:c r="D22" s="11">
        <x:f>SUM(D12:D21)</x:f>
        <x:v>17715</x:v>
      </x:c>
      <x:c r="E22" s="12">
        <x:f>AVERAGE(E12:E21)</x:f>
        <x:v>0.09999999999999999</x:v>
      </x:c>
      <x:c r="F22" s="11">
        <x:f>SUM(F12:F21)</x:f>
        <x:v>19486.5</x:v>
      </x:c>
    </x:row>
    <x:row r="25">
      <x:c r="A25" s="13" t="inlineStr">
        <x:is>
          <x:t xml:space="preserve">Costos adicionales</x:t>
        </x:is>
      </x:c>
    </x:row>
    <x:row r="26">
      <x:c r="A26" t="inlineStr">
        <x:is>
          <x:t xml:space="preserve">Infraestructura cloud / hosting</x:t>
        </x:is>
      </x:c>
      <x:c r="C26" s="14" t="n">
        <x:v>1500</x:v>
      </x:c>
      <x:c r="E26" s="2" t="inlineStr">
        <x:is>
          <x:t xml:space="preserve">Subtotal adicionales</x:t>
        </x:is>
      </x:c>
      <x:c r="F26" s="15">
        <x:f>SUM(C26:C29)</x:f>
        <x:v>3650</x:v>
      </x:c>
    </x:row>
    <x:row r="27">
      <x:c r="A27" t="inlineStr">
        <x:is>
          <x:t xml:space="preserve">Licencias / herramientas</x:t>
        </x:is>
      </x:c>
      <x:c r="C27" s="14" t="n">
        <x:v>1200</x:v>
      </x:c>
    </x:row>
    <x:row r="28">
      <x:c r="A28" t="inlineStr">
        <x:is>
          <x:t xml:space="preserve">Dominio / certificados</x:t>
        </x:is>
      </x:c>
      <x:c r="C28" s="14" t="n">
        <x:v>150</x:v>
      </x:c>
    </x:row>
    <x:row r="29">
      <x:c r="A29" t="inlineStr">
        <x:is>
          <x:t xml:space="preserve">Reserva de cambios menores</x:t>
        </x:is>
      </x:c>
      <x:c r="C29" s="14" t="n">
        <x:v>800</x:v>
      </x:c>
    </x:row>
    <x:row r="32">
      <x:c r="E32" s="16" t="inlineStr">
        <x:is>
          <x:t xml:space="preserve">Subtotal general</x:t>
        </x:is>
      </x:c>
      <x:c r="F32" s="17">
        <x:f>F22+F26</x:f>
        <x:v>23136.5</x:v>
      </x:c>
    </x:row>
    <x:row r="33">
      <x:c r="E33" s="16" t="inlineStr">
        <x:is>
          <x:t xml:space="preserve">Impuesto</x:t>
        </x:is>
      </x:c>
      <x:c r="F33" s="17">
        <x:f>F32*Parametros!$B$11</x:f>
        <x:v>4395.935</x:v>
      </x:c>
    </x:row>
    <x:row r="34">
      <x:c r="E34" s="18" t="inlineStr">
        <x:is>
          <x:t xml:space="preserve">TOTAL PROPUESTA</x:t>
        </x:is>
      </x:c>
      <x:c r="F34" s="19">
        <x:f>F32+F33</x:f>
        <x:v>27532.435</x:v>
      </x:c>
    </x:row>
    <x:row r="37">
      <x:c r="A37" s="13" t="inlineStr">
        <x:is>
          <x:t xml:space="preserve">Forma de pago sugerida</x:t>
        </x:is>
      </x:c>
    </x:row>
    <x:row r="38">
      <x:c r="A38" t="inlineStr">
        <x:is>
          <x:t xml:space="preserve">Anticipo</x:t>
        </x:is>
      </x:c>
      <x:c r="B38" s="20" t="n">
        <x:v>0.3</x:v>
      </x:c>
      <x:c r="C38" s="15">
        <x:f>$F$34*B38</x:f>
        <x:v>8259.7305</x:v>
      </x:c>
    </x:row>
    <x:row r="39">
      <x:c r="A39" t="inlineStr">
        <x:is>
          <x:t xml:space="preserve">Durante desarrollo</x:t>
        </x:is>
      </x:c>
      <x:c r="B39" s="20" t="n">
        <x:v>0.4</x:v>
      </x:c>
      <x:c r="C39" s="15">
        <x:f>$F$34*B39</x:f>
        <x:v>11012.974000000002</x:v>
      </x:c>
    </x:row>
    <x:row r="40">
      <x:c r="A40" t="inlineStr">
        <x:is>
          <x:t xml:space="preserve">Contra entrega</x:t>
        </x:is>
      </x:c>
      <x:c r="B40" s="20" t="n">
        <x:v>0.3</x:v>
      </x:c>
      <x:c r="C40" s="15">
        <x:f>$F$34*B40</x:f>
        <x:v>8259.7305</x:v>
      </x:c>
    </x:row>
    <x:row r="41">
      <x:c r="A41" t="inlineStr">
        <x:is>
          <x:t xml:space="preserve">Control</x:t>
        </x:is>
      </x:c>
      <x:c r="B41" s="21">
        <x:f>SUM(B38:B40)</x:f>
        <x:v>1</x:v>
      </x:c>
      <x:c r="C41" t="inlineStr">
        <x:is>
          <x:t xml:space="preserve">Debe sumar 100%</x:t>
        </x:is>
      </x:c>
    </x:row>
  </x:sheetData>
  <x:mergeCells>
    <x:mergeCell ref="A25:C25"/>
    <x:mergeCell ref="A1:F1"/>
  </x:mergeCells>
  <x:pageMargins left="0.7" right="0.7" top="0.75" bottom="0.75" header="0.3" footer="0.3"/>
  <x:legacyDrawing xmlns:r="http://schemas.openxmlformats.org/officeDocument/2006/relationships" r:id="R25ea6ff3419b4b48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24" customWidth="1"/>
    <x:col min="3" max="3" width="10" customWidth="1"/>
    <x:col min="4" max="4" width="12" customWidth="1"/>
    <x:col min="5" max="5" width="14" customWidth="1"/>
    <x:col min="6" max="6" width="38" customWidth="1"/>
  </x:cols>
  <x:sheetData>
    <x:row r="1">
      <x:c r="A1" s="18" t="inlineStr">
        <x:is>
          <x:t xml:space="preserve">Fase</x:t>
        </x:is>
      </x:c>
      <x:c r="B1" s="18" t="inlineStr">
        <x:is>
          <x:t xml:space="preserve">Perfil</x:t>
        </x:is>
      </x:c>
      <x:c r="C1" s="18" t="inlineStr">
        <x:is>
          <x:t xml:space="preserve">Horas</x:t>
        </x:is>
      </x:c>
      <x:c r="D1" s="18" t="inlineStr">
        <x:is>
          <x:t xml:space="preserve">Tarifa/hora</x:t>
        </x:is>
      </x:c>
      <x:c r="E1" s="18" t="inlineStr">
        <x:is>
          <x:t xml:space="preserve">Costo base</x:t>
        </x:is>
      </x:c>
      <x:c r="F1" s="18" t="inlineStr">
        <x:is>
          <x:t xml:space="preserve">Observaciones</x:t>
        </x:is>
      </x:c>
    </x:row>
    <x:row r="2">
      <x:c r="A2" t="inlineStr">
        <x:is>
          <x:t xml:space="preserve">Levantamiento y análisis</x:t>
        </x:is>
      </x:c>
      <x:c r="B2" t="inlineStr">
        <x:is>
          <x:t xml:space="preserve">Analista</x:t>
        </x:is>
      </x:c>
      <x:c r="C2" s="22" t="n">
        <x:v>30</x:v>
      </x:c>
      <x:c r="D2" s="14" t="n">
        <x:v>35</x:v>
      </x:c>
      <x:c r="E2" s="15">
        <x:f>C2*D2</x:f>
        <x:v>1050</x:v>
      </x:c>
      <x:c r="F2" t="inlineStr">
        <x:is>
          <x:t xml:space="preserve">Reuniones, historias de usuario y alcance</x:t>
        </x:is>
      </x:c>
    </x:row>
    <x:row r="3">
      <x:c r="A3" t="inlineStr">
        <x:is>
          <x:t xml:space="preserve">Diseño funcional y técnico</x:t>
        </x:is>
      </x:c>
      <x:c r="B3" t="inlineStr">
        <x:is>
          <x:t xml:space="preserve">Analista</x:t>
        </x:is>
      </x:c>
      <x:c r="C3" s="22" t="n">
        <x:v>25</x:v>
      </x:c>
      <x:c r="D3" s="14" t="n">
        <x:v>35</x:v>
      </x:c>
      <x:c r="E3" s="15">
        <x:f>C3*D3</x:f>
        <x:v>875</x:v>
      </x:c>
      <x:c r="F3" t="inlineStr">
        <x:is>
          <x:t xml:space="preserve">Casos de uso, arquitectura y criterios</x:t>
        </x:is>
      </x:c>
    </x:row>
    <x:row r="4">
      <x:c r="A4" t="inlineStr">
        <x:is>
          <x:t xml:space="preserve">Diseño UI/UX</x:t>
        </x:is>
      </x:c>
      <x:c r="B4" t="inlineStr">
        <x:is>
          <x:t xml:space="preserve">Diseñador UI/UX</x:t>
        </x:is>
      </x:c>
      <x:c r="C4" s="22" t="n">
        <x:v>40</x:v>
      </x:c>
      <x:c r="D4" s="14" t="n">
        <x:v>30</x:v>
      </x:c>
      <x:c r="E4" s="15">
        <x:f>C4*D4</x:f>
        <x:v>1200</x:v>
      </x:c>
      <x:c r="F4" t="inlineStr">
        <x:is>
          <x:t xml:space="preserve">Flujos, wireframes y prototipos</x:t>
        </x:is>
      </x:c>
    </x:row>
    <x:row r="5">
      <x:c r="A5" t="inlineStr">
        <x:is>
          <x:t xml:space="preserve">Backend módulo principal</x:t>
        </x:is>
      </x:c>
      <x:c r="B5" t="inlineStr">
        <x:is>
          <x:t xml:space="preserve">Desarrollador Backend</x:t>
        </x:is>
      </x:c>
      <x:c r="C5" s="22" t="n">
        <x:v>120</x:v>
      </x:c>
      <x:c r="D5" s="14" t="n">
        <x:v>40</x:v>
      </x:c>
      <x:c r="E5" s="15">
        <x:f>C5*D5</x:f>
        <x:v>4800</x:v>
      </x:c>
      <x:c r="F5" t="inlineStr">
        <x:is>
          <x:t xml:space="preserve">API, reglas de negocio y seguridad</x:t>
        </x:is>
      </x:c>
    </x:row>
    <x:row r="6">
      <x:c r="A6" t="inlineStr">
        <x:is>
          <x:t xml:space="preserve">Frontend módulo principal</x:t>
        </x:is>
      </x:c>
      <x:c r="B6" t="inlineStr">
        <x:is>
          <x:t xml:space="preserve">Desarrollador Frontend</x:t>
        </x:is>
      </x:c>
      <x:c r="C6" s="22" t="n">
        <x:v>100</x:v>
      </x:c>
      <x:c r="D6" s="14" t="n">
        <x:v>35</x:v>
      </x:c>
      <x:c r="E6" s="15">
        <x:f>C6*D6</x:f>
        <x:v>3500</x:v>
      </x:c>
      <x:c r="F6" t="inlineStr">
        <x:is>
          <x:t xml:space="preserve">Interfaces, validaciones y consumo API</x:t>
        </x:is>
      </x:c>
    </x:row>
    <x:row r="7">
      <x:c r="A7" t="inlineStr">
        <x:is>
          <x:t xml:space="preserve">Modelo de datos</x:t>
        </x:is>
      </x:c>
      <x:c r="B7" t="inlineStr">
        <x:is>
          <x:t xml:space="preserve">DBA / Arquitectura</x:t>
        </x:is>
      </x:c>
      <x:c r="C7" s="22" t="n">
        <x:v>25</x:v>
      </x:c>
      <x:c r="D7" s="14" t="n">
        <x:v>38</x:v>
      </x:c>
      <x:c r="E7" s="15">
        <x:f>C7*D7</x:f>
        <x:v>950</x:v>
      </x:c>
      <x:c r="F7" t="inlineStr">
        <x:is>
          <x:t xml:space="preserve">Diseño lógico y optimización</x:t>
        </x:is>
      </x:c>
    </x:row>
    <x:row r="8">
      <x:c r="A8" t="inlineStr">
        <x:is>
          <x:t xml:space="preserve">Integración con terceros</x:t>
        </x:is>
      </x:c>
      <x:c r="B8" t="inlineStr">
        <x:is>
          <x:t xml:space="preserve">Integraciones</x:t>
        </x:is>
      </x:c>
      <x:c r="C8" s="22" t="n">
        <x:v>35</x:v>
      </x:c>
      <x:c r="D8" s="14" t="n">
        <x:v>42</x:v>
      </x:c>
      <x:c r="E8" s="15">
        <x:f>C8*D8</x:f>
        <x:v>1470</x:v>
      </x:c>
      <x:c r="F8" t="inlineStr">
        <x:is>
          <x:t xml:space="preserve">Pasarelas, APIs o servicios externos</x:t>
        </x:is>
      </x:c>
    </x:row>
    <x:row r="9">
      <x:c r="A9" t="inlineStr">
        <x:is>
          <x:t xml:space="preserve">Pruebas funcionales</x:t>
        </x:is>
      </x:c>
      <x:c r="B9" t="inlineStr">
        <x:is>
          <x:t xml:space="preserve">QA</x:t>
        </x:is>
      </x:c>
      <x:c r="C9" s="22" t="n">
        <x:v>40</x:v>
      </x:c>
      <x:c r="D9" s="14" t="n">
        <x:v>28</x:v>
      </x:c>
      <x:c r="E9" s="15">
        <x:f>C9*D9</x:f>
        <x:v>1120</x:v>
      </x:c>
      <x:c r="F9" t="inlineStr">
        <x:is>
          <x:t xml:space="preserve">Casos de prueba y defectos</x:t>
        </x:is>
      </x:c>
    </x:row>
    <x:row r="10">
      <x:c r="A10" t="inlineStr">
        <x:is>
          <x:t xml:space="preserve">Despliegue y CI/CD</x:t>
        </x:is>
      </x:c>
      <x:c r="B10" t="inlineStr">
        <x:is>
          <x:t xml:space="preserve">DevOps</x:t>
        </x:is>
      </x:c>
      <x:c r="C10" s="22" t="n">
        <x:v>20</x:v>
      </x:c>
      <x:c r="D10" s="14" t="n">
        <x:v>45</x:v>
      </x:c>
      <x:c r="E10" s="15">
        <x:f>C10*D10</x:f>
        <x:v>900</x:v>
      </x:c>
      <x:c r="F10" t="inlineStr">
        <x:is>
          <x:t xml:space="preserve">Servidor, pipeline y monitoreo</x:t>
        </x:is>
      </x:c>
    </x:row>
    <x:row r="11">
      <x:c r="A11" t="inlineStr">
        <x:is>
          <x:t xml:space="preserve">Documentación</x:t>
        </x:is>
      </x:c>
      <x:c r="B11" t="inlineStr">
        <x:is>
          <x:t xml:space="preserve">Documentación</x:t>
        </x:is>
      </x:c>
      <x:c r="C11" s="22" t="n">
        <x:v>12</x:v>
      </x:c>
      <x:c r="D11" s="14" t="n">
        <x:v>25</x:v>
      </x:c>
      <x:c r="E11" s="15">
        <x:f>C11*D11</x:f>
        <x:v>300</x:v>
      </x:c>
      <x:c r="F11" t="inlineStr">
        <x:is>
          <x:t xml:space="preserve">Manual técnico y usuario</x:t>
        </x:is>
      </x:c>
    </x:row>
    <x:row r="12">
      <x:c r="A12" t="inlineStr">
        <x:is>
          <x:t xml:space="preserve">Capacitación</x:t>
        </x:is>
      </x:c>
      <x:c r="B12" t="inlineStr">
        <x:is>
          <x:t xml:space="preserve">Documentación</x:t>
        </x:is>
      </x:c>
      <x:c r="C12" s="22" t="n">
        <x:v>8</x:v>
      </x:c>
      <x:c r="D12" s="14" t="n">
        <x:v>25</x:v>
      </x:c>
      <x:c r="E12" s="15">
        <x:f>C12*D12</x:f>
        <x:v>200</x:v>
      </x:c>
      <x:c r="F12" t="inlineStr">
        <x:is>
          <x:t xml:space="preserve">2 sesiones</x:t>
        </x:is>
      </x:c>
    </x:row>
    <x:row r="13">
      <x:c r="A13" t="inlineStr">
        <x:is>
          <x:t xml:space="preserve">Gestión del proyecto</x:t>
        </x:is>
      </x:c>
      <x:c r="B13" t="inlineStr">
        <x:is>
          <x:t xml:space="preserve">Líder de proyecto</x:t>
        </x:is>
      </x:c>
      <x:c r="C13" s="22" t="n">
        <x:v>30</x:v>
      </x:c>
      <x:c r="D13" s="14" t="n">
        <x:v>45</x:v>
      </x:c>
      <x:c r="E13" s="15">
        <x:f>C13*D13</x:f>
        <x:v>1350</x:v>
      </x:c>
      <x:c r="F13" t="inlineStr">
        <x:is>
          <x:t xml:space="preserve">Seguimiento, riesgos y control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4" customWidth="1"/>
    <x:col min="3" max="3" width="52" customWidth="1"/>
  </x:cols>
  <x:sheetData>
    <x:row r="1">
      <x:c r="A1" s="18" t="inlineStr">
        <x:is>
          <x:t xml:space="preserve">Parámetro</x:t>
        </x:is>
      </x:c>
      <x:c r="B1" s="18" t="inlineStr">
        <x:is>
          <x:t xml:space="preserve">Valor</x:t>
        </x:is>
      </x:c>
      <x:c r="C1" s="18" t="inlineStr">
        <x:is>
          <x:t xml:space="preserve">Descripción</x:t>
        </x:is>
      </x:c>
    </x:row>
    <x:row r="2">
      <x:c r="A2" t="inlineStr">
        <x:is>
          <x:t xml:space="preserve">Contingencia global</x:t>
        </x:is>
      </x:c>
      <x:c r="B2" s="20" t="n">
        <x:v>0.1</x:v>
      </x:c>
      <x:c r="C2" t="inlineStr">
        <x:is>
          <x:t xml:space="preserve">Usada en la hoja Resumen</x:t>
        </x:is>
      </x:c>
    </x:row>
    <x:row r="3">
      <x:c r="A3" t="inlineStr">
        <x:is>
          <x:t xml:space="preserve">Impuesto global</x:t>
        </x:is>
      </x:c>
      <x:c r="B3" s="20" t="n">
        <x:v>0.19</x:v>
      </x:c>
      <x:c r="C3" t="inlineStr">
        <x:is>
          <x:t xml:space="preserve">Usado en la hoja Resumen</x:t>
        </x:is>
      </x:c>
    </x:row>
    <x:row r="4">
      <x:c r="A4" t="inlineStr">
        <x:is>
          <x:t xml:space="preserve">Descuento comercial</x:t>
        </x:is>
      </x:c>
      <x:c r="B4" s="20" t="n">
        <x:v>0</x:v>
      </x:c>
      <x:c r="C4" t="inlineStr">
        <x:is>
          <x:t xml:space="preserve">Opcional</x:t>
        </x:is>
      </x:c>
    </x:row>
    <x:row r="5">
      <x:c r="A5" t="inlineStr">
        <x:is>
          <x:t xml:space="preserve">Moneda de referencia</x:t>
        </x:is>
      </x:c>
      <x:c r="B5" t="inlineStr">
        <x:is>
          <x:t xml:space="preserve">USD</x:t>
        </x:is>
      </x:c>
      <x:c r="C5" t="inlineStr">
        <x:is>
          <x:t xml:space="preserve">Cambiar si aplica</x:t>
        </x:is>
      </x:c>
    </x:row>
    <x:row r="6">
      <x:c r="A6" t="inlineStr">
        <x:is>
          <x:t xml:space="preserve">Horas por semana</x:t>
        </x:is>
      </x:c>
      <x:c r="B6" t="n">
        <x:v>40</x:v>
      </x:c>
      <x:c r="C6" t="inlineStr">
        <x:is>
          <x:t xml:space="preserve">Para estimar duración</x:t>
        </x:is>
      </x:c>
    </x:row>
    <x:row r="10">
      <x:c r="A10" t="inlineStr">
        <x:is>
          <x:t xml:space="preserve">Contingencia global</x:t>
        </x:is>
      </x:c>
      <x:c r="B10" s="21">
        <x:f>B2</x:f>
        <x:v>0.1</x:v>
      </x:c>
      <x:c r="C10" t="inlineStr">
        <x:is>
          <x:t xml:space="preserve">Referencia para fórmulas</x:t>
        </x:is>
      </x:c>
    </x:row>
    <x:row r="11">
      <x:c r="A11" t="inlineStr">
        <x:is>
          <x:t xml:space="preserve">Impuesto global</x:t>
        </x:is>
      </x:c>
      <x:c r="B11" s="21">
        <x:f>B3</x:f>
        <x:v>0.19</x:v>
      </x:c>
      <x:c r="C11" t="inlineStr">
        <x:is>
          <x:t xml:space="preserve">Referencia para fórmulas</x:t>
        </x:is>
      </x:c>
    </x:row>
  </x:sheetData>
  <x:pageMargins left="0.7" right="0.7" top="0.75" bottom="0.75" header="0.3" footer="0.3"/>
</x:worksheet>
</file>