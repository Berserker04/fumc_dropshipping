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showInkAnnotation="0" autoCompressPictures="0"/>
  <xr:revisionPtr revIDLastSave="0" documentId="8_{29193047-4975-4A54-AE70-5FB4A11C7C6B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Resumen" sheetId="1" r:id="rId1"/>
    <sheet name="Detalle" sheetId="2" r:id="rId2"/>
    <sheet name="Parametros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B10" i="3"/>
  <c r="E13" i="2"/>
  <c r="E12" i="2"/>
  <c r="E11" i="2"/>
  <c r="E10" i="2"/>
  <c r="E9" i="2"/>
  <c r="E8" i="2"/>
  <c r="E7" i="2"/>
  <c r="E6" i="2"/>
  <c r="E5" i="2"/>
  <c r="E4" i="2"/>
  <c r="E3" i="2"/>
  <c r="E2" i="2"/>
  <c r="B41" i="1"/>
  <c r="F26" i="1"/>
  <c r="E21" i="1"/>
  <c r="D21" i="1"/>
  <c r="F21" i="1" s="1"/>
  <c r="C21" i="1"/>
  <c r="B21" i="1"/>
  <c r="E20" i="1"/>
  <c r="D20" i="1"/>
  <c r="F20" i="1" s="1"/>
  <c r="C20" i="1"/>
  <c r="B20" i="1"/>
  <c r="E19" i="1"/>
  <c r="D19" i="1"/>
  <c r="F19" i="1" s="1"/>
  <c r="C19" i="1"/>
  <c r="B19" i="1"/>
  <c r="E18" i="1"/>
  <c r="D18" i="1"/>
  <c r="F18" i="1" s="1"/>
  <c r="C18" i="1"/>
  <c r="B18" i="1"/>
  <c r="E17" i="1"/>
  <c r="D17" i="1"/>
  <c r="F17" i="1" s="1"/>
  <c r="C17" i="1"/>
  <c r="B17" i="1"/>
  <c r="E16" i="1"/>
  <c r="D16" i="1"/>
  <c r="F16" i="1" s="1"/>
  <c r="C16" i="1"/>
  <c r="B16" i="1"/>
  <c r="E15" i="1"/>
  <c r="D15" i="1"/>
  <c r="F15" i="1" s="1"/>
  <c r="C15" i="1"/>
  <c r="B15" i="1"/>
  <c r="E14" i="1"/>
  <c r="D14" i="1"/>
  <c r="F14" i="1" s="1"/>
  <c r="C14" i="1"/>
  <c r="B14" i="1"/>
  <c r="E13" i="1"/>
  <c r="D13" i="1"/>
  <c r="F13" i="1" s="1"/>
  <c r="C13" i="1"/>
  <c r="B13" i="1"/>
  <c r="E12" i="1"/>
  <c r="E22" i="1" s="1"/>
  <c r="D12" i="1"/>
  <c r="C12" i="1"/>
  <c r="B12" i="1"/>
  <c r="B22" i="1" s="1"/>
  <c r="D22" i="1" l="1"/>
  <c r="F12" i="1"/>
  <c r="F22" i="1" s="1"/>
  <c r="F32" i="1" s="1"/>
  <c r="F33" i="1" l="1"/>
  <c r="F34" i="1" s="1"/>
  <c r="C40" i="1" l="1"/>
  <c r="C39" i="1"/>
  <c r="C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8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Cambie la moneda o escriba la abreviatura requerida por el cliente.</t>
        </r>
      </text>
    </comment>
    <comment ref="F3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El total se calcula como subtotal servicios + costos adicionales + impuesto.</t>
        </r>
      </text>
    </comment>
  </commentList>
</comments>
</file>

<file path=xl/sharedStrings.xml><?xml version="1.0" encoding="utf-8"?>
<sst xmlns="http://schemas.openxmlformats.org/spreadsheetml/2006/main" count="105" uniqueCount="93">
  <si>
    <t>PLANTILLA DE PRESUPUESTO DE PROYECTO DE SOFTWARE</t>
  </si>
  <si>
    <t>Proyecto</t>
  </si>
  <si>
    <t>Sistema de gestión</t>
  </si>
  <si>
    <t>Cliente</t>
  </si>
  <si>
    <t>Nombre del cliente</t>
  </si>
  <si>
    <t>Proveedor</t>
  </si>
  <si>
    <t>Empresa / Consultor</t>
  </si>
  <si>
    <t>Fecha</t>
  </si>
  <si>
    <t>2026-03-27</t>
  </si>
  <si>
    <t>Duración estimada</t>
  </si>
  <si>
    <t>12 semanas</t>
  </si>
  <si>
    <t>Moneda</t>
  </si>
  <si>
    <t>COP</t>
  </si>
  <si>
    <t>Componente</t>
  </si>
  <si>
    <t>Horas</t>
  </si>
  <si>
    <t>Tarifa promedio</t>
  </si>
  <si>
    <t>Costo base</t>
  </si>
  <si>
    <t>% Contingencia</t>
  </si>
  <si>
    <t>Total</t>
  </si>
  <si>
    <t>Análisis y diseño</t>
  </si>
  <si>
    <t>Diseño UI/UX</t>
  </si>
  <si>
    <t>Desarrollo backend</t>
  </si>
  <si>
    <t>Desarrollo frontend</t>
  </si>
  <si>
    <t>Base de datos</t>
  </si>
  <si>
    <t>Integraciones</t>
  </si>
  <si>
    <t>QA y pruebas</t>
  </si>
  <si>
    <t>Despliegue</t>
  </si>
  <si>
    <t>Documentación y capacitación</t>
  </si>
  <si>
    <t>Gestión del proyecto</t>
  </si>
  <si>
    <t>Subtotal servicios</t>
  </si>
  <si>
    <t>Costos adicionales</t>
  </si>
  <si>
    <t>Infraestructura cloud / hosting</t>
  </si>
  <si>
    <t>Subtotal adicionales</t>
  </si>
  <si>
    <t>Licencias / herramientas</t>
  </si>
  <si>
    <t>Dominio / certificados</t>
  </si>
  <si>
    <t>Reserva de cambios menores</t>
  </si>
  <si>
    <t>Subtotal general</t>
  </si>
  <si>
    <t>Impuesto</t>
  </si>
  <si>
    <t>TOTAL PROPUESTA</t>
  </si>
  <si>
    <t>Forma de pago sugerida</t>
  </si>
  <si>
    <t>Anticipo</t>
  </si>
  <si>
    <t>Durante desarrollo</t>
  </si>
  <si>
    <t>Contra entrega</t>
  </si>
  <si>
    <t>Control</t>
  </si>
  <si>
    <t>Debe sumar 100%</t>
  </si>
  <si>
    <t>Fase</t>
  </si>
  <si>
    <t>Perfil</t>
  </si>
  <si>
    <t>Tarifa/hora</t>
  </si>
  <si>
    <t>Observaciones</t>
  </si>
  <si>
    <t>Levantamiento y análisis</t>
  </si>
  <si>
    <t>Analista</t>
  </si>
  <si>
    <t>Reuniones, historias de usuario y alcance</t>
  </si>
  <si>
    <t>Diseño funcional y técnico</t>
  </si>
  <si>
    <t>Casos de uso, arquitectura y criterios</t>
  </si>
  <si>
    <t>Diseñador UI/UX</t>
  </si>
  <si>
    <t>Flujos, wireframes y prototipos</t>
  </si>
  <si>
    <t>Backend módulo principal</t>
  </si>
  <si>
    <t>Desarrollador Backend</t>
  </si>
  <si>
    <t>API, reglas de negocio y seguridad</t>
  </si>
  <si>
    <t>Frontend módulo principal</t>
  </si>
  <si>
    <t>Desarrollador Frontend</t>
  </si>
  <si>
    <t>Interfaces, validaciones y consumo API</t>
  </si>
  <si>
    <t>Modelo de datos</t>
  </si>
  <si>
    <t>DBA / Arquitectura</t>
  </si>
  <si>
    <t>Diseño lógico y optimización</t>
  </si>
  <si>
    <t>Integración con terceros</t>
  </si>
  <si>
    <t>Pasarelas, APIs o servicios externos</t>
  </si>
  <si>
    <t>Pruebas funcionales</t>
  </si>
  <si>
    <t>QA</t>
  </si>
  <si>
    <t>Casos de prueba y defectos</t>
  </si>
  <si>
    <t>Despliegue y CI/CD</t>
  </si>
  <si>
    <t>DevOps</t>
  </si>
  <si>
    <t>Servidor, pipeline y monitoreo</t>
  </si>
  <si>
    <t>Documentación</t>
  </si>
  <si>
    <t>Manual técnico y usuario</t>
  </si>
  <si>
    <t>Capacitación</t>
  </si>
  <si>
    <t>2 sesiones</t>
  </si>
  <si>
    <t>Líder de proyecto</t>
  </si>
  <si>
    <t>Seguimiento, riesgos y control</t>
  </si>
  <si>
    <t>Parámetro</t>
  </si>
  <si>
    <t>Valor</t>
  </si>
  <si>
    <t>Descripción</t>
  </si>
  <si>
    <t>Contingencia global</t>
  </si>
  <si>
    <t>Usada en la hoja Resumen</t>
  </si>
  <si>
    <t>Impuesto global</t>
  </si>
  <si>
    <t>Usado en la hoja Resumen</t>
  </si>
  <si>
    <t>Descuento comercial</t>
  </si>
  <si>
    <t>Opcional</t>
  </si>
  <si>
    <t>Moneda de referencia</t>
  </si>
  <si>
    <t>Cambiar si aplica</t>
  </si>
  <si>
    <t>Horas por semana</t>
  </si>
  <si>
    <t>Para estimar duración</t>
  </si>
  <si>
    <t>Referencia para fórmulas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</si>
</sst>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$\ #,##0.00;[Red]\(\$\ #,##0.00\);\-"/>
    <numFmt numFmtId="166" formatCode="0.0%"/>
  </numFmts>
  <fonts count="6">
    <font>
      <sz val="11"/>
      <color theme="1"/>
      <name val="Calibri"/>
      <family val="2"/>
      <scheme val="minor"/>
    </font>
    <font>
      <b/>
      <sz val="15"/>
      <color rgb="FF1F4E78"/>
      <name val="Calibri"/>
    </font>
    <font>
      <b/>
      <sz val="11"/>
      <name val="Calibri"/>
    </font>
    <font>
      <sz val="11"/>
      <color rgb="FF0000FF"/>
      <name val="Calibri"/>
    </font>
    <font>
      <b/>
      <sz val="11"/>
      <color rgb="FFFFFFFF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 style="medium">
        <color rgb="FF1F4E78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 applyAlignment="1">
      <alignment horizontal="center"/>
    </xf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0" fontId="2" fillId="4" borderId="1" xfId="0" applyFont="1" applyFill="1" applyBorder="1"/>
    <xf numFmtId="164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166" fontId="0" fillId="4" borderId="1" xfId="0" applyNumberFormat="1" applyFill="1" applyBorder="1"/>
    <xf numFmtId="0" fontId="2" fillId="5" borderId="0" xfId="0" applyFont="1" applyFill="1"/>
    <xf numFmtId="165" fontId="3" fillId="2" borderId="0" xfId="0" applyNumberFormat="1" applyFont="1" applyFill="1"/>
    <xf numFmtId="165" fontId="0" fillId="0" borderId="0" xfId="0" applyNumberFormat="1"/>
    <xf numFmtId="0" fontId="2" fillId="4" borderId="0" xfId="0" applyFont="1" applyFill="1"/>
    <xf numFmtId="165" fontId="2" fillId="4" borderId="0" xfId="0" applyNumberFormat="1" applyFont="1" applyFill="1"/>
    <xf numFmtId="0" fontId="4" fillId="3" borderId="0" xfId="0" applyFont="1" applyFill="1"/>
    <xf numFmtId="165" fontId="4" fillId="3" borderId="0" xfId="0" applyNumberFormat="1" applyFont="1" applyFill="1"/>
    <xf numFmtId="166" fontId="3" fillId="2" borderId="0" xfId="0" applyNumberFormat="1" applyFont="1" applyFill="1"/>
    <xf numFmtId="166" fontId="0" fillId="0" borderId="0" xfId="0" applyNumberFormat="1"/>
    <xf numFmtId="164" fontId="3" fillId="2" borderId="0" xfId="0" applyNumberFormat="1" applyFont="1" applyFill="1"/>
    <xf numFmtId="0" fontId="1" fillId="0" borderId="0" xfId="0" applyFont="1" applyAlignment="1"/>
    <xf numFmtId="0" fontId="0" fillId="0" borderId="0" xfId="0" applyAlignment="1"/>
    <xf numFmtId="0" fontId="2" fillId="5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opLeftCell="A10" zoomScaleNormal="100" zoomScaleSheetLayoutView="100" workbookViewId="0">
      <selection activeCell="F33" sqref="F33"/>
    </sheetView>
  </sheetViews>
  <sheetFormatPr defaultRowHeight="15"/>
  <cols>
    <col min="1" max="1" width="34" customWidth="1"/>
    <col min="2" max="2" width="18" customWidth="1"/>
    <col min="3" max="4" width="16" customWidth="1"/>
    <col min="5" max="6" width="18" customWidth="1"/>
  </cols>
  <sheetData>
    <row r="1" spans="1:6">
      <c r="A1" s="22" t="s">
        <v>0</v>
      </c>
      <c r="B1" s="23"/>
      <c r="C1" s="23"/>
      <c r="D1" s="23"/>
      <c r="E1" s="23"/>
      <c r="F1" s="23"/>
    </row>
    <row r="3" spans="1:6">
      <c r="A3" s="1" t="s">
        <v>1</v>
      </c>
      <c r="B3" s="2" t="s">
        <v>2</v>
      </c>
    </row>
    <row r="4" spans="1:6">
      <c r="A4" s="1" t="s">
        <v>3</v>
      </c>
      <c r="B4" s="2" t="s">
        <v>4</v>
      </c>
    </row>
    <row r="5" spans="1:6">
      <c r="A5" s="1" t="s">
        <v>5</v>
      </c>
      <c r="B5" s="2" t="s">
        <v>6</v>
      </c>
    </row>
    <row r="6" spans="1:6">
      <c r="A6" s="1" t="s">
        <v>7</v>
      </c>
      <c r="B6" s="2" t="s">
        <v>8</v>
      </c>
    </row>
    <row r="7" spans="1:6">
      <c r="A7" s="1" t="s">
        <v>9</v>
      </c>
      <c r="B7" s="2" t="s">
        <v>10</v>
      </c>
    </row>
    <row r="8" spans="1:6">
      <c r="A8" s="1" t="s">
        <v>11</v>
      </c>
      <c r="B8" s="2" t="s">
        <v>12</v>
      </c>
    </row>
    <row r="11" spans="1:6">
      <c r="A11" s="3" t="s">
        <v>13</v>
      </c>
      <c r="B11" s="3" t="s">
        <v>14</v>
      </c>
      <c r="C11" s="3" t="s">
        <v>15</v>
      </c>
      <c r="D11" s="3" t="s">
        <v>16</v>
      </c>
      <c r="E11" s="3" t="s">
        <v>17</v>
      </c>
      <c r="F11" s="3" t="s">
        <v>18</v>
      </c>
    </row>
    <row r="12" spans="1:6">
      <c r="A12" t="s">
        <v>19</v>
      </c>
      <c r="B12" s="4">
        <f>SUMIF(Detalle!$B:$B,"Analista",Detalle!$C:$C)</f>
        <v>200</v>
      </c>
      <c r="C12" s="5">
        <f>IFERROR(SUMIF(Detalle!$B:$B,"Analista",Detalle!$E:$E)/SUMIF(Detalle!$B:$B,"Analista",Detalle!$C:$C),0)</f>
        <v>25000</v>
      </c>
      <c r="D12" s="5">
        <f>SUMIF(Detalle!$B:$B,"Analista",Detalle!$E:$E)</f>
        <v>5000000</v>
      </c>
      <c r="E12" s="6">
        <f>Parametros!$B$10</f>
        <v>0.1</v>
      </c>
      <c r="F12" s="5">
        <f>D12*(1+E12)</f>
        <v>5500000</v>
      </c>
    </row>
    <row r="13" spans="1:6">
      <c r="A13" t="s">
        <v>20</v>
      </c>
      <c r="B13" s="4">
        <f>SUMIF(Detalle!$B:$B,"Diseñador UI/UX",Detalle!$C:$C)</f>
        <v>60</v>
      </c>
      <c r="C13" s="5">
        <f>IFERROR(SUMIF(Detalle!$B:$B,"Diseñador UI/UX",Detalle!$E:$E)/SUMIF(Detalle!$B:$B,"Diseñador UI/UX",Detalle!$C:$C),0)</f>
        <v>25000</v>
      </c>
      <c r="D13" s="5">
        <f>SUMIF(Detalle!$B:$B,"Diseñador UI/UX",Detalle!$E:$E)</f>
        <v>1500000</v>
      </c>
      <c r="E13" s="6">
        <f>Parametros!$B$10</f>
        <v>0.1</v>
      </c>
      <c r="F13" s="5">
        <f>D13*(1+E13)</f>
        <v>1650000.0000000002</v>
      </c>
    </row>
    <row r="14" spans="1:6">
      <c r="A14" t="s">
        <v>21</v>
      </c>
      <c r="B14" s="4">
        <f>SUMIF(Detalle!$B:$B,"Desarrollador Backend",Detalle!$C:$C)</f>
        <v>320</v>
      </c>
      <c r="C14" s="5">
        <f>IFERROR(SUMIF(Detalle!$B:$B,"Desarrollador Backend",Detalle!$E:$E)/SUMIF(Detalle!$B:$B,"Desarrollador Backend",Detalle!$C:$C),0)</f>
        <v>40000</v>
      </c>
      <c r="D14" s="5">
        <f>SUMIF(Detalle!$B:$B,"Desarrollador Backend",Detalle!$E:$E)</f>
        <v>12800000</v>
      </c>
      <c r="E14" s="6">
        <f>Parametros!$B$10</f>
        <v>0.1</v>
      </c>
      <c r="F14" s="5">
        <f>D14*(1+E14)</f>
        <v>14080000.000000002</v>
      </c>
    </row>
    <row r="15" spans="1:6">
      <c r="A15" t="s">
        <v>22</v>
      </c>
      <c r="B15" s="4">
        <f>SUMIF(Detalle!$B:$B,"Desarrollador Frontend",Detalle!$C:$C)</f>
        <v>280</v>
      </c>
      <c r="C15" s="5">
        <f>IFERROR(SUMIF(Detalle!$B:$B,"Desarrollador Frontend",Detalle!$E:$E)/SUMIF(Detalle!$B:$B,"Desarrollador Frontend",Detalle!$C:$C),0)</f>
        <v>35000</v>
      </c>
      <c r="D15" s="5">
        <f>SUMIF(Detalle!$B:$B,"Desarrollador Frontend",Detalle!$E:$E)</f>
        <v>9800000</v>
      </c>
      <c r="E15" s="6">
        <f>Parametros!$B$10</f>
        <v>0.1</v>
      </c>
      <c r="F15" s="5">
        <f>D15*(1+E15)</f>
        <v>10780000</v>
      </c>
    </row>
    <row r="16" spans="1:6">
      <c r="A16" t="s">
        <v>23</v>
      </c>
      <c r="B16" s="4">
        <f>SUMIF(Detalle!$B:$B,"DBA / Arquitectura",Detalle!$C:$C)</f>
        <v>100</v>
      </c>
      <c r="C16" s="5">
        <f>IFERROR(SUMIF(Detalle!$B:$B,"DBA / Arquitectura",Detalle!$E:$E)/SUMIF(Detalle!$B:$B,"DBA / Arquitectura",Detalle!$C:$C),0)</f>
        <v>25000</v>
      </c>
      <c r="D16" s="5">
        <f>SUMIF(Detalle!$B:$B,"DBA / Arquitectura",Detalle!$E:$E)</f>
        <v>2500000</v>
      </c>
      <c r="E16" s="6">
        <f>Parametros!$B$10</f>
        <v>0.1</v>
      </c>
      <c r="F16" s="5">
        <f>D16*(1+E16)</f>
        <v>2750000</v>
      </c>
    </row>
    <row r="17" spans="1:6">
      <c r="A17" t="s">
        <v>24</v>
      </c>
      <c r="B17" s="4">
        <f>SUMIF(Detalle!$B:$B,"Integraciones",Detalle!$C:$C)</f>
        <v>80</v>
      </c>
      <c r="C17" s="5">
        <f>IFERROR(SUMIF(Detalle!$B:$B,"Integraciones",Detalle!$E:$E)/SUMIF(Detalle!$B:$B,"Integraciones",Detalle!$C:$C),0)</f>
        <v>25000</v>
      </c>
      <c r="D17" s="5">
        <f>SUMIF(Detalle!$B:$B,"Integraciones",Detalle!$E:$E)</f>
        <v>2000000</v>
      </c>
      <c r="E17" s="6">
        <f>Parametros!$B$10</f>
        <v>0.1</v>
      </c>
      <c r="F17" s="5">
        <f>D17*(1+E17)</f>
        <v>2200000</v>
      </c>
    </row>
    <row r="18" spans="1:6">
      <c r="A18" t="s">
        <v>25</v>
      </c>
      <c r="B18" s="4">
        <f>SUMIF(Detalle!$B:$B,"QA",Detalle!$C:$C)</f>
        <v>160</v>
      </c>
      <c r="C18" s="5">
        <f>IFERROR(SUMIF(Detalle!$B:$B,"QA",Detalle!$E:$E)/SUMIF(Detalle!$B:$B,"QA",Detalle!$C:$C),0)</f>
        <v>30000</v>
      </c>
      <c r="D18" s="5">
        <f>SUMIF(Detalle!$B:$B,"QA",Detalle!$E:$E)</f>
        <v>4800000</v>
      </c>
      <c r="E18" s="6">
        <f>Parametros!$B$10</f>
        <v>0.1</v>
      </c>
      <c r="F18" s="5">
        <f>D18*(1+E18)</f>
        <v>5280000</v>
      </c>
    </row>
    <row r="19" spans="1:6">
      <c r="A19" t="s">
        <v>26</v>
      </c>
      <c r="B19" s="4">
        <f>SUMIF(Detalle!$B:$B,"DevOps",Detalle!$C:$C)</f>
        <v>50</v>
      </c>
      <c r="C19" s="5">
        <f>IFERROR(SUMIF(Detalle!$B:$B,"DevOps",Detalle!$E:$E)/SUMIF(Detalle!$B:$B,"DevOps",Detalle!$C:$C),0)</f>
        <v>30000</v>
      </c>
      <c r="D19" s="5">
        <f>SUMIF(Detalle!$B:$B,"DevOps",Detalle!$E:$E)</f>
        <v>1500000</v>
      </c>
      <c r="E19" s="6">
        <f>Parametros!$B$10</f>
        <v>0.1</v>
      </c>
      <c r="F19" s="5">
        <f>D19*(1+E19)</f>
        <v>1650000.0000000002</v>
      </c>
    </row>
    <row r="20" spans="1:6">
      <c r="A20" t="s">
        <v>27</v>
      </c>
      <c r="B20" s="4">
        <f>SUMIF(Detalle!$B:$B,"Documentación",Detalle!$C:$C)</f>
        <v>60</v>
      </c>
      <c r="C20" s="5">
        <f>IFERROR(SUMIF(Detalle!$B:$B,"Documentación",Detalle!$E:$E)/SUMIF(Detalle!$B:$B,"Documentación",Detalle!$C:$C),0)</f>
        <v>20000</v>
      </c>
      <c r="D20" s="5">
        <f>SUMIF(Detalle!$B:$B,"Documentación",Detalle!$E:$E)</f>
        <v>1200000</v>
      </c>
      <c r="E20" s="6">
        <f>Parametros!$B$10</f>
        <v>0.1</v>
      </c>
      <c r="F20" s="5">
        <f>D20*(1+E20)</f>
        <v>1320000</v>
      </c>
    </row>
    <row r="21" spans="1:6">
      <c r="A21" t="s">
        <v>28</v>
      </c>
      <c r="B21" s="4">
        <f>SUMIF(Detalle!$B:$B,"Líder de proyecto",Detalle!$C:$C)</f>
        <v>120</v>
      </c>
      <c r="C21" s="5">
        <f>IFERROR(SUMIF(Detalle!$B:$B,"Líder de proyecto",Detalle!$E:$E)/SUMIF(Detalle!$B:$B,"Líder de proyecto",Detalle!$C:$C),0)</f>
        <v>35000</v>
      </c>
      <c r="D21" s="5">
        <f>SUMIF(Detalle!$B:$B,"Líder de proyecto",Detalle!$E:$E)</f>
        <v>4200000</v>
      </c>
      <c r="E21" s="6">
        <f>Parametros!$B$10</f>
        <v>0.1</v>
      </c>
      <c r="F21" s="5">
        <f>D21*(1+E21)</f>
        <v>4620000</v>
      </c>
    </row>
    <row r="22" spans="1:6">
      <c r="A22" s="7" t="s">
        <v>29</v>
      </c>
      <c r="B22" s="8">
        <f>SUM(B12:B21)</f>
        <v>1430</v>
      </c>
      <c r="C22" s="9"/>
      <c r="D22" s="10">
        <f>SUM(D12:D21)</f>
        <v>45300000</v>
      </c>
      <c r="E22" s="11">
        <f>AVERAGE(E12:E21)</f>
        <v>9.9999999999999992E-2</v>
      </c>
      <c r="F22" s="10">
        <f>SUM(F12:F21)</f>
        <v>49830000</v>
      </c>
    </row>
    <row r="25" spans="1:6">
      <c r="A25" s="24" t="s">
        <v>30</v>
      </c>
      <c r="B25" s="23"/>
      <c r="C25" s="23"/>
    </row>
    <row r="26" spans="1:6">
      <c r="A26" t="s">
        <v>31</v>
      </c>
      <c r="C26" s="13">
        <v>1500000</v>
      </c>
      <c r="E26" s="1" t="s">
        <v>32</v>
      </c>
      <c r="F26" s="14">
        <f>SUM(C26:C29)</f>
        <v>3650000</v>
      </c>
    </row>
    <row r="27" spans="1:6">
      <c r="A27" t="s">
        <v>33</v>
      </c>
      <c r="C27" s="13">
        <v>1200000</v>
      </c>
    </row>
    <row r="28" spans="1:6">
      <c r="A28" t="s">
        <v>34</v>
      </c>
      <c r="C28" s="13">
        <v>150000</v>
      </c>
    </row>
    <row r="29" spans="1:6">
      <c r="A29" t="s">
        <v>35</v>
      </c>
      <c r="C29" s="13">
        <v>800000</v>
      </c>
    </row>
    <row r="32" spans="1:6">
      <c r="E32" s="15" t="s">
        <v>36</v>
      </c>
      <c r="F32" s="16">
        <f>F22+F26</f>
        <v>53480000</v>
      </c>
    </row>
    <row r="33" spans="1:6">
      <c r="E33" s="15" t="s">
        <v>37</v>
      </c>
      <c r="F33" s="16">
        <f>F32*Parametros!$B$11</f>
        <v>10161200</v>
      </c>
    </row>
    <row r="34" spans="1:6">
      <c r="E34" s="17" t="s">
        <v>38</v>
      </c>
      <c r="F34" s="18">
        <f>F32+F33</f>
        <v>63641200</v>
      </c>
    </row>
    <row r="37" spans="1:6">
      <c r="A37" s="12" t="s">
        <v>39</v>
      </c>
    </row>
    <row r="38" spans="1:6">
      <c r="A38" t="s">
        <v>40</v>
      </c>
      <c r="B38" s="19">
        <v>0.3</v>
      </c>
      <c r="C38" s="14">
        <f>$F$34*B38</f>
        <v>19092360</v>
      </c>
    </row>
    <row r="39" spans="1:6">
      <c r="A39" t="s">
        <v>41</v>
      </c>
      <c r="B39" s="19">
        <v>0.4</v>
      </c>
      <c r="C39" s="14">
        <f>$F$34*B39</f>
        <v>25456480</v>
      </c>
    </row>
    <row r="40" spans="1:6">
      <c r="A40" t="s">
        <v>42</v>
      </c>
      <c r="B40" s="19">
        <v>0.3</v>
      </c>
      <c r="C40" s="14">
        <f>$F$34*B40</f>
        <v>19092360</v>
      </c>
    </row>
    <row r="41" spans="1:6">
      <c r="A41" t="s">
        <v>43</v>
      </c>
      <c r="B41" s="20">
        <f>SUM(B38:B40)</f>
        <v>1</v>
      </c>
      <c r="C41" t="s">
        <v>44</v>
      </c>
    </row>
  </sheetData>
  <mergeCells count="2">
    <mergeCell ref="A25:C25"/>
    <mergeCell ref="A1:F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zoomScaleSheetLayoutView="100" workbookViewId="0">
      <selection activeCell="F17" sqref="F17"/>
    </sheetView>
  </sheetViews>
  <sheetFormatPr defaultRowHeight="15"/>
  <cols>
    <col min="1" max="1" width="28" customWidth="1"/>
    <col min="2" max="2" width="24" customWidth="1"/>
    <col min="3" max="3" width="10" customWidth="1"/>
    <col min="4" max="4" width="12" customWidth="1"/>
    <col min="5" max="5" width="20.28515625" customWidth="1"/>
    <col min="6" max="6" width="38" customWidth="1"/>
  </cols>
  <sheetData>
    <row r="1" spans="1:6">
      <c r="A1" s="17" t="s">
        <v>45</v>
      </c>
      <c r="B1" s="17" t="s">
        <v>46</v>
      </c>
      <c r="C1" s="17" t="s">
        <v>14</v>
      </c>
      <c r="D1" s="17" t="s">
        <v>47</v>
      </c>
      <c r="E1" s="17" t="s">
        <v>16</v>
      </c>
      <c r="F1" s="17" t="s">
        <v>48</v>
      </c>
    </row>
    <row r="2" spans="1:6">
      <c r="A2" t="s">
        <v>49</v>
      </c>
      <c r="B2" t="s">
        <v>50</v>
      </c>
      <c r="C2" s="21">
        <v>100</v>
      </c>
      <c r="D2" s="13">
        <v>25000</v>
      </c>
      <c r="E2" s="14">
        <f>C2*D2</f>
        <v>2500000</v>
      </c>
      <c r="F2" t="s">
        <v>51</v>
      </c>
    </row>
    <row r="3" spans="1:6">
      <c r="A3" t="s">
        <v>52</v>
      </c>
      <c r="B3" t="s">
        <v>50</v>
      </c>
      <c r="C3" s="21">
        <v>100</v>
      </c>
      <c r="D3" s="13">
        <v>25000</v>
      </c>
      <c r="E3" s="14">
        <f>C3*D3</f>
        <v>2500000</v>
      </c>
      <c r="F3" t="s">
        <v>53</v>
      </c>
    </row>
    <row r="4" spans="1:6">
      <c r="A4" t="s">
        <v>20</v>
      </c>
      <c r="B4" t="s">
        <v>54</v>
      </c>
      <c r="C4" s="21">
        <v>60</v>
      </c>
      <c r="D4" s="13">
        <v>25000</v>
      </c>
      <c r="E4" s="14">
        <f>C4*D4</f>
        <v>1500000</v>
      </c>
      <c r="F4" t="s">
        <v>55</v>
      </c>
    </row>
    <row r="5" spans="1:6">
      <c r="A5" t="s">
        <v>56</v>
      </c>
      <c r="B5" t="s">
        <v>57</v>
      </c>
      <c r="C5" s="21">
        <v>320</v>
      </c>
      <c r="D5" s="13">
        <v>40000</v>
      </c>
      <c r="E5" s="14">
        <f>C5*D5</f>
        <v>12800000</v>
      </c>
      <c r="F5" t="s">
        <v>58</v>
      </c>
    </row>
    <row r="6" spans="1:6">
      <c r="A6" t="s">
        <v>59</v>
      </c>
      <c r="B6" t="s">
        <v>60</v>
      </c>
      <c r="C6" s="21">
        <v>280</v>
      </c>
      <c r="D6" s="13">
        <v>35000</v>
      </c>
      <c r="E6" s="14">
        <f>C6*D6</f>
        <v>9800000</v>
      </c>
      <c r="F6" t="s">
        <v>61</v>
      </c>
    </row>
    <row r="7" spans="1:6">
      <c r="A7" t="s">
        <v>62</v>
      </c>
      <c r="B7" t="s">
        <v>63</v>
      </c>
      <c r="C7" s="21">
        <v>100</v>
      </c>
      <c r="D7" s="13">
        <v>25000</v>
      </c>
      <c r="E7" s="14">
        <f>C7*D7</f>
        <v>2500000</v>
      </c>
      <c r="F7" t="s">
        <v>64</v>
      </c>
    </row>
    <row r="8" spans="1:6">
      <c r="A8" t="s">
        <v>65</v>
      </c>
      <c r="B8" t="s">
        <v>24</v>
      </c>
      <c r="C8" s="21">
        <v>80</v>
      </c>
      <c r="D8" s="13">
        <v>25000</v>
      </c>
      <c r="E8" s="14">
        <f>C8*D8</f>
        <v>2000000</v>
      </c>
      <c r="F8" t="s">
        <v>66</v>
      </c>
    </row>
    <row r="9" spans="1:6">
      <c r="A9" t="s">
        <v>67</v>
      </c>
      <c r="B9" t="s">
        <v>68</v>
      </c>
      <c r="C9" s="21">
        <v>160</v>
      </c>
      <c r="D9" s="13">
        <v>30000</v>
      </c>
      <c r="E9" s="14">
        <f>C9*D9</f>
        <v>4800000</v>
      </c>
      <c r="F9" t="s">
        <v>69</v>
      </c>
    </row>
    <row r="10" spans="1:6">
      <c r="A10" t="s">
        <v>70</v>
      </c>
      <c r="B10" t="s">
        <v>71</v>
      </c>
      <c r="C10" s="21">
        <v>50</v>
      </c>
      <c r="D10" s="13">
        <v>30000</v>
      </c>
      <c r="E10" s="14">
        <f>C10*D10</f>
        <v>1500000</v>
      </c>
      <c r="F10" t="s">
        <v>72</v>
      </c>
    </row>
    <row r="11" spans="1:6">
      <c r="A11" t="s">
        <v>73</v>
      </c>
      <c r="B11" t="s">
        <v>73</v>
      </c>
      <c r="C11" s="21">
        <v>40</v>
      </c>
      <c r="D11" s="13">
        <v>20000</v>
      </c>
      <c r="E11" s="14">
        <f>C11*D11</f>
        <v>800000</v>
      </c>
      <c r="F11" t="s">
        <v>74</v>
      </c>
    </row>
    <row r="12" spans="1:6">
      <c r="A12" t="s">
        <v>75</v>
      </c>
      <c r="B12" t="s">
        <v>73</v>
      </c>
      <c r="C12" s="21">
        <v>20</v>
      </c>
      <c r="D12" s="13">
        <v>20000</v>
      </c>
      <c r="E12" s="14">
        <f>C12*D12</f>
        <v>400000</v>
      </c>
      <c r="F12" t="s">
        <v>76</v>
      </c>
    </row>
    <row r="13" spans="1:6">
      <c r="A13" t="s">
        <v>28</v>
      </c>
      <c r="B13" t="s">
        <v>77</v>
      </c>
      <c r="C13" s="21">
        <v>120</v>
      </c>
      <c r="D13" s="13">
        <v>35000</v>
      </c>
      <c r="E13" s="14">
        <f>C13*D13</f>
        <v>4200000</v>
      </c>
      <c r="F13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tabSelected="1" zoomScaleNormal="100" zoomScaleSheetLayoutView="100" workbookViewId="0">
      <selection activeCell="B5" sqref="B5"/>
    </sheetView>
  </sheetViews>
  <sheetFormatPr defaultRowHeight="15"/>
  <cols>
    <col min="1" max="1" width="24" customWidth="1"/>
    <col min="2" max="2" width="14" customWidth="1"/>
    <col min="3" max="3" width="52" customWidth="1"/>
  </cols>
  <sheetData>
    <row r="1" spans="1:3">
      <c r="A1" s="17" t="s">
        <v>79</v>
      </c>
      <c r="B1" s="17" t="s">
        <v>80</v>
      </c>
      <c r="C1" s="17" t="s">
        <v>81</v>
      </c>
    </row>
    <row r="2" spans="1:3">
      <c r="A2" t="s">
        <v>82</v>
      </c>
      <c r="B2" s="19">
        <v>0.1</v>
      </c>
      <c r="C2" t="s">
        <v>83</v>
      </c>
    </row>
    <row r="3" spans="1:3">
      <c r="A3" t="s">
        <v>84</v>
      </c>
      <c r="B3" s="19">
        <v>0.19</v>
      </c>
      <c r="C3" t="s">
        <v>85</v>
      </c>
    </row>
    <row r="4" spans="1:3">
      <c r="A4" t="s">
        <v>86</v>
      </c>
      <c r="B4" s="19">
        <v>0</v>
      </c>
      <c r="C4" t="s">
        <v>87</v>
      </c>
    </row>
    <row r="5" spans="1:3">
      <c r="A5" t="s">
        <v>88</v>
      </c>
      <c r="B5" t="s">
        <v>12</v>
      </c>
      <c r="C5" t="s">
        <v>89</v>
      </c>
    </row>
    <row r="6" spans="1:3">
      <c r="A6" t="s">
        <v>90</v>
      </c>
      <c r="B6">
        <v>40</v>
      </c>
      <c r="C6" t="s">
        <v>91</v>
      </c>
    </row>
    <row r="10" spans="1:3">
      <c r="A10" t="s">
        <v>82</v>
      </c>
      <c r="B10" s="20">
        <f>B2</f>
        <v>0.1</v>
      </c>
      <c r="C10" t="s">
        <v>92</v>
      </c>
    </row>
    <row r="11" spans="1:3">
      <c r="A11" t="s">
        <v>84</v>
      </c>
      <c r="B11" s="20">
        <f>B3</f>
        <v>0.19</v>
      </c>
      <c r="C1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2026-04-11T03:52:18Z</dcterms:created>
  <dcterms:modified xsi:type="dcterms:W3CDTF">2026-04-11T04:27:08Z</dcterms:modified>
  <cp:category/>
  <cp:contentStatus/>
</cp:coreProperties>
</file>