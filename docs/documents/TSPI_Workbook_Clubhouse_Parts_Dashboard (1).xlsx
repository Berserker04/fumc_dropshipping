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8_{EA0D43E6-1D99-4E44-B5C1-A927870AD98D}" xr6:coauthVersionLast="47" xr6:coauthVersionMax="47" xr10:uidLastSave="{00000000-0000-0000-0000-000000000000}"/>
  <bookViews>
    <workbookView xWindow="0" yWindow="0" windowWidth="0" windowHeight="0" activeTab="6" xr2:uid="{00000000-000D-0000-FFFF-FFFF00000000}"/>
  </bookViews>
  <sheets>
    <sheet name="Dashboard" sheetId="1" r:id="rId1"/>
    <sheet name="Team_Roster" sheetId="2" r:id="rId2"/>
    <sheet name="Project_Plan" sheetId="3" r:id="rId3"/>
    <sheet name="Task_Planning" sheetId="4" r:id="rId4"/>
    <sheet name="Time_Tracking" sheetId="5" r:id="rId5"/>
    <sheet name="Defect_Log" sheetId="6" r:id="rId6"/>
    <sheet name="Risk_Log" sheetId="7" r:id="rId7"/>
    <sheet name="Weekly_Summary" sheetId="8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N7" i="1"/>
  <c r="N9" i="1"/>
  <c r="N3" i="1"/>
  <c r="Q14" i="1"/>
  <c r="Q13" i="1"/>
  <c r="Q12" i="1"/>
  <c r="Q11" i="1"/>
  <c r="Q10" i="1"/>
  <c r="Q9" i="1"/>
  <c r="Q8" i="1"/>
  <c r="N8" i="1"/>
  <c r="Q7" i="1"/>
  <c r="Q6" i="1"/>
  <c r="N6" i="1"/>
  <c r="F6" i="1"/>
  <c r="Q5" i="1"/>
  <c r="N5" i="1"/>
  <c r="K5" i="1"/>
  <c r="Q4" i="1"/>
  <c r="N4" i="1"/>
  <c r="K4" i="1"/>
  <c r="F4" i="1"/>
  <c r="D4" i="1"/>
  <c r="Q3" i="1"/>
  <c r="K3" i="1"/>
</calcChain>
</file>

<file path=xl/sharedStrings.xml><?xml version="1.0" encoding="utf-8"?>
<sst xmlns="http://schemas.openxmlformats.org/spreadsheetml/2006/main" count="349" uniqueCount="209">
  <si>
    <t>Dashboard TSPI - Clubhouse Parts ERP</t>
  </si>
  <si>
    <t>Status</t>
  </si>
  <si>
    <t>Count</t>
  </si>
  <si>
    <t>Miembro</t>
  </si>
  <si>
    <t>Horas</t>
  </si>
  <si>
    <t>Semana</t>
  </si>
  <si>
    <t>Proyecto</t>
  </si>
  <si>
    <t>Clubhouse Parts ERP</t>
  </si>
  <si>
    <t>Total tareas</t>
  </si>
  <si>
    <t>Tareas completadas</t>
  </si>
  <si>
    <t>Done</t>
  </si>
  <si>
    <t xml:space="preserve">Andres Sebastián Avendaño Pedraza </t>
  </si>
  <si>
    <t>Duración</t>
  </si>
  <si>
    <t>12 semanas / 3 meses</t>
  </si>
  <si>
    <t>In Progress</t>
  </si>
  <si>
    <t>Santiago Restrepo Arismendy </t>
  </si>
  <si>
    <t>Inicio</t>
  </si>
  <si>
    <t>Defectos abiertos</t>
  </si>
  <si>
    <t>Horas registradas</t>
  </si>
  <si>
    <t>Not Started</t>
  </si>
  <si>
    <t>Vanessa Gómez López</t>
  </si>
  <si>
    <t>Fin estimado</t>
  </si>
  <si>
    <t>Juan Diego Murillo Rivas </t>
  </si>
  <si>
    <t>Sofía Arismendy Quintero </t>
  </si>
  <si>
    <t>Miguel Ángel Mejía Barrera </t>
  </si>
  <si>
    <t>Brahian Danilo Hurtado Muñoz </t>
  </si>
  <si>
    <t xml:space="preserve"> </t>
  </si>
  <si>
    <t>Team Roster</t>
  </si>
  <si>
    <t>Member ID</t>
  </si>
  <si>
    <t>Nombre</t>
  </si>
  <si>
    <t>Rol</t>
  </si>
  <si>
    <t>Correo</t>
  </si>
  <si>
    <t>Responsabilidad</t>
  </si>
  <si>
    <t>TM-01</t>
  </si>
  <si>
    <t>Frontend</t>
  </si>
  <si>
    <t>andressebastianavendanopedraza@fumc.edu.co</t>
  </si>
  <si>
    <t>Catálogo, UI principal</t>
  </si>
  <si>
    <t>TM-02</t>
  </si>
  <si>
    <t>brahiandanilohurtadomunoz@fumc.edu.co</t>
  </si>
  <si>
    <t>POS y órdenes de trabajo</t>
  </si>
  <si>
    <t>TM-03</t>
  </si>
  <si>
    <t>Full Stack</t>
  </si>
  <si>
    <t>juandiegomurillorivas@fumc.edu.co</t>
  </si>
  <si>
    <t>Arquitectura, integración</t>
  </si>
  <si>
    <t>TM-04</t>
  </si>
  <si>
    <t>Backend</t>
  </si>
  <si>
    <t>miguelangelmejiabarrera@fumc.edu.co</t>
  </si>
  <si>
    <t>Base de datos, inventario</t>
  </si>
  <si>
    <t>TM-05</t>
  </si>
  <si>
    <t>QA</t>
  </si>
  <si>
    <t>santiagorestrepoarismendy@fumc.edu.co</t>
  </si>
  <si>
    <t>QA, casos de prueba, defectos</t>
  </si>
  <si>
    <t>TM-06</t>
  </si>
  <si>
    <t>sofiaarismendyquintero@fumc.edu.co</t>
  </si>
  <si>
    <t>Clientes y vehículos</t>
  </si>
  <si>
    <t>TM-07</t>
  </si>
  <si>
    <t>vanessagomezlopez@fumc.edu.co</t>
  </si>
  <si>
    <t>Auth, roles, APIs</t>
  </si>
  <si>
    <t>Project Plan - 3 meses</t>
  </si>
  <si>
    <t>Phase ID</t>
  </si>
  <si>
    <t>Fase</t>
  </si>
  <si>
    <t>Fin</t>
  </si>
  <si>
    <t>Responsable</t>
  </si>
  <si>
    <t>Estado</t>
  </si>
  <si>
    <t>(EJEMPLOS) Entregable</t>
  </si>
  <si>
    <t>P1</t>
  </si>
  <si>
    <t>Análisis de requisitos</t>
  </si>
  <si>
    <t xml:space="preserve">SRS </t>
  </si>
  <si>
    <t>P2</t>
  </si>
  <si>
    <t>Diseño de arquitectura</t>
  </si>
  <si>
    <t>Arquitectura y BD definidas</t>
  </si>
  <si>
    <t>P3</t>
  </si>
  <si>
    <t>Desarrollo frontend</t>
  </si>
  <si>
    <t>Interfaces principales operativas</t>
  </si>
  <si>
    <t>P4</t>
  </si>
  <si>
    <t>Desarrollo backend</t>
  </si>
  <si>
    <t>APIs y lógica de negocio</t>
  </si>
  <si>
    <t>P5</t>
  </si>
  <si>
    <t>Integración</t>
  </si>
  <si>
    <t>Frontend y backend conectados</t>
  </si>
  <si>
    <t>P6</t>
  </si>
  <si>
    <t>Pruebas QA</t>
  </si>
  <si>
    <t>Reporte de pruebas y defectos</t>
  </si>
  <si>
    <t>P7</t>
  </si>
  <si>
    <t>Despliegue</t>
  </si>
  <si>
    <t>Sistema entregado y validado</t>
  </si>
  <si>
    <t>Task Planning</t>
  </si>
  <si>
    <t>Task ID</t>
  </si>
  <si>
    <t>Tarea</t>
  </si>
  <si>
    <t>Prioridad</t>
  </si>
  <si>
    <t>Horas est.</t>
  </si>
  <si>
    <t>Horas reales</t>
  </si>
  <si>
    <t>T-001</t>
  </si>
  <si>
    <t>Revisión del SRS y alcance del sistema</t>
  </si>
  <si>
    <t>High</t>
  </si>
  <si>
    <t>T-002</t>
  </si>
  <si>
    <t>Definir arquitectura y módulos principales</t>
  </si>
  <si>
    <t>T-003</t>
  </si>
  <si>
    <t>Diseñar base de datos PostgreSQL</t>
  </si>
  <si>
    <t>T-004</t>
  </si>
  <si>
    <t>Implementar login y control por roles</t>
  </si>
  <si>
    <t>T-005</t>
  </si>
  <si>
    <t>Crear interfaz de catálogo público</t>
  </si>
  <si>
    <t>T-006</t>
  </si>
  <si>
    <t>Desarrollar módulo de inventario por sede</t>
  </si>
  <si>
    <t>T-007</t>
  </si>
  <si>
    <t>Implementar módulo de clientes y vehículos</t>
  </si>
  <si>
    <t>Medium</t>
  </si>
  <si>
    <t>T-008</t>
  </si>
  <si>
    <t>Construir flujo POS de ventas</t>
  </si>
  <si>
    <t>T-009</t>
  </si>
  <si>
    <t>Crear órdenes de trabajo y servicios</t>
  </si>
  <si>
    <t>Desarrollo full stack</t>
  </si>
  <si>
    <t>T-010</t>
  </si>
  <si>
    <t>Ejecutar pruebas funcionales y de regresión</t>
  </si>
  <si>
    <t>T-011</t>
  </si>
  <si>
    <t>Corregir defectos críticos</t>
  </si>
  <si>
    <t>T-012</t>
  </si>
  <si>
    <t>Preparar despliegue y validación final</t>
  </si>
  <si>
    <t>Time Tracking</t>
  </si>
  <si>
    <t>Fecha</t>
  </si>
  <si>
    <t>Actividad</t>
  </si>
  <si>
    <t>Revisión del SRS</t>
  </si>
  <si>
    <t>Criterios de aceptación</t>
  </si>
  <si>
    <t>Juan Diego Murillo</t>
  </si>
  <si>
    <t>Arquitectura inicial</t>
  </si>
  <si>
    <t>Modelo de datos</t>
  </si>
  <si>
    <t>Wireframes catálogo</t>
  </si>
  <si>
    <t>Diseño módulo clientes</t>
  </si>
  <si>
    <t>Auth backend</t>
  </si>
  <si>
    <t>Vista POS</t>
  </si>
  <si>
    <t>Catálogo responsive</t>
  </si>
  <si>
    <t>Inventario por sede</t>
  </si>
  <si>
    <t>Roles y sesiones</t>
  </si>
  <si>
    <t>Diseño de casos de prueba</t>
  </si>
  <si>
    <t>Modelo órdenes de trabajo</t>
  </si>
  <si>
    <t>Formulario clientes</t>
  </si>
  <si>
    <t>Componentes POS</t>
  </si>
  <si>
    <t>Pruebas login e inventario</t>
  </si>
  <si>
    <t>Defect Log</t>
  </si>
  <si>
    <t>Defect ID</t>
  </si>
  <si>
    <t>Módulo</t>
  </si>
  <si>
    <t>Descripción</t>
  </si>
  <si>
    <t>Severidad</t>
  </si>
  <si>
    <t>Reportado por</t>
  </si>
  <si>
    <t>Fecha cierre</t>
  </si>
  <si>
    <t>D-001</t>
  </si>
  <si>
    <t>Login</t>
  </si>
  <si>
    <t>La validación permite contraseña vacía en caso límite</t>
  </si>
  <si>
    <t>Open</t>
  </si>
  <si>
    <t>D-002</t>
  </si>
  <si>
    <t>Inventario</t>
  </si>
  <si>
    <t>El stock puede quedar negativo al confirmar una venta</t>
  </si>
  <si>
    <t>Critical</t>
  </si>
  <si>
    <t>D-003</t>
  </si>
  <si>
    <t>Catálogo</t>
  </si>
  <si>
    <t>La búsqueda por compatibilidad no devuelve todos los resultados</t>
  </si>
  <si>
    <t>In Review</t>
  </si>
  <si>
    <t>D-004</t>
  </si>
  <si>
    <t>Clientes</t>
  </si>
  <si>
    <t>Formulario no valida correo duplicado</t>
  </si>
  <si>
    <t>Low</t>
  </si>
  <si>
    <t>Fixed</t>
  </si>
  <si>
    <t xml:space="preserve">ESTO ES UN EJEMPLO DE COMO LO VAMOS A LLEVAR ESTE MODULO </t>
  </si>
  <si>
    <t>Risk Log</t>
  </si>
  <si>
    <t>Risk ID</t>
  </si>
  <si>
    <t>Riesgo</t>
  </si>
  <si>
    <t>Probabilidad</t>
  </si>
  <si>
    <t>Impacto</t>
  </si>
  <si>
    <t>Mitigación</t>
  </si>
  <si>
    <t>R-001</t>
  </si>
  <si>
    <t>Retrasos en integración frontend-backend</t>
  </si>
  <si>
    <t>Revisiones técnicas semanales y endpoints con contrato definido</t>
  </si>
  <si>
    <t>R-002</t>
  </si>
  <si>
    <t>Sobrecarga de tareas en frontend</t>
  </si>
  <si>
    <t>Redistribuir tareas entre Frontend y Full Stack</t>
  </si>
  <si>
    <t>Monitoring</t>
  </si>
  <si>
    <t>R-003</t>
  </si>
  <si>
    <t>Errores de rendimiento en base de datos</t>
  </si>
  <si>
    <t>Optimizar consultas y revisar índices</t>
  </si>
  <si>
    <t>R-004</t>
  </si>
  <si>
    <t>Hallazgo tardío de bugs críticos</t>
  </si>
  <si>
    <t>QA continuo sobre módulos terminados</t>
  </si>
  <si>
    <t>Weekly Summary</t>
  </si>
  <si>
    <t>Enfoque principal</t>
  </si>
  <si>
    <t>Horas del equipo</t>
  </si>
  <si>
    <t>Resultado</t>
  </si>
  <si>
    <t>Levantamiento de requisitos</t>
  </si>
  <si>
    <t>SRS aprobado</t>
  </si>
  <si>
    <t>Cierre de requisitos y priorización</t>
  </si>
  <si>
    <t>Módulos definidos</t>
  </si>
  <si>
    <t>Modelo técnico base</t>
  </si>
  <si>
    <t>Diseño de base de datos y flujos</t>
  </si>
  <si>
    <t>Schema inicial</t>
  </si>
  <si>
    <t>Inicio desarrollo frontend</t>
  </si>
  <si>
    <t>Catálogo público</t>
  </si>
  <si>
    <t>Inicio desarrollo backend</t>
  </si>
  <si>
    <t>Auth y roles</t>
  </si>
  <si>
    <t>Inventario y clientes</t>
  </si>
  <si>
    <t>CRUD principal</t>
  </si>
  <si>
    <t>Ventas y órdenes de trabajo</t>
  </si>
  <si>
    <t>Módulos núcleo</t>
  </si>
  <si>
    <t>Conexión módulos</t>
  </si>
  <si>
    <t>QA funcional</t>
  </si>
  <si>
    <t>Bugs priorizados</t>
  </si>
  <si>
    <t>Correcciones y regresión</t>
  </si>
  <si>
    <t>Estabilización</t>
  </si>
  <si>
    <t>Despliegue y cierre</t>
  </si>
  <si>
    <t>Entrega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</si>
</sst>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name val="Calibri"/>
    </font>
    <font>
      <b/>
      <sz val="14"/>
      <name val="Calibri"/>
    </font>
    <font>
      <b/>
      <sz val="10"/>
      <color rgb="FFFFFFFF"/>
      <name val="Calibri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63A5F"/>
      </patternFill>
    </fill>
    <fill>
      <patternFill patternType="solid">
        <fgColor rgb="FFEEF6FC"/>
      </patternFill>
    </fill>
    <fill>
      <patternFill patternType="solid">
        <fgColor rgb="FFD9EAF7"/>
      </patternFill>
    </fill>
    <fill>
      <patternFill patternType="solid">
        <fgColor rgb="FFE8F5E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D0D7DE"/>
      </bottom>
      <diagonal/>
    </border>
    <border>
      <left/>
      <right/>
      <top style="thin">
        <color theme="4" tint="0.39997558519241921"/>
      </top>
      <bottom style="thin">
        <color rgb="FFD0D7DE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/>
    <xf numFmtId="0" fontId="0" fillId="3" borderId="1" xfId="0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1" xfId="0" applyBorder="1"/>
    <xf numFmtId="0" fontId="3" fillId="5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horizontal="left" vertical="center"/>
    </xf>
    <xf numFmtId="164" fontId="0" fillId="0" borderId="1" xfId="0" applyNumberFormat="1" applyBorder="1" applyAlignment="1">
      <alignment vertical="top" wrapText="1"/>
    </xf>
    <xf numFmtId="0" fontId="5" fillId="0" borderId="1" xfId="1" applyBorder="1" applyAlignment="1">
      <alignment vertical="top" wrapText="1"/>
    </xf>
    <xf numFmtId="0" fontId="0" fillId="7" borderId="0" xfId="0" applyFill="1" applyAlignment="1">
      <alignment wrapText="1"/>
    </xf>
    <xf numFmtId="0" fontId="0" fillId="6" borderId="2" xfId="0" applyFont="1" applyFill="1" applyBorder="1" applyAlignment="1">
      <alignment vertical="top" wrapText="1"/>
    </xf>
    <xf numFmtId="0" fontId="0" fillId="0" borderId="2" xfId="0" applyFont="1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2">
    <cellStyle name="Hyperlink" xfId="1" xr:uid="{00000000-000B-0000-0000-000008000000}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rgb="FFD0D7DE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Estado de tareas</a:t>
            </a:r>
          </a:p>
        </c:rich>
      </c:tx>
      <c:layout>
        <c:manualLayout>
          <c:xMode val="edge"/>
          <c:yMode val="edge"/>
          <c:x val="1.9259747071173165E-2"/>
          <c:y val="1.3985990273832228E-2"/>
        </c:manualLayout>
      </c:layout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Dashboard!K2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Dashboard!$J$3:$J$5</c:f>
              <c:strCache>
                <c:ptCount val="3"/>
                <c:pt idx="0">
                  <c:v>Done</c:v>
                </c:pt>
                <c:pt idx="1">
                  <c:v>In Progress</c:v>
                </c:pt>
                <c:pt idx="2">
                  <c:v>Not Started</c:v>
                </c:pt>
              </c:strCache>
            </c:strRef>
          </c:cat>
          <c:val>
            <c:numRef>
              <c:f>Dashboard!$K$3:$K$5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DA-4ACD-BA3C-53D7DD24D5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74864690443106374"/>
          <c:y val="0"/>
          <c:w val="0.25135308641975307"/>
          <c:h val="0.2733964285714286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900"/>
            </a:pPr>
            <a:r>
              <a:rPr lang="en-US"/>
              <a:t>Horas por integrante</a:t>
            </a:r>
          </a:p>
        </c:rich>
      </c:tx>
      <c:layout>
        <c:manualLayout>
          <c:xMode val="edge"/>
          <c:yMode val="edge"/>
          <c:x val="0.24764547495766273"/>
          <c:y val="3.2401584443591896E-3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Dashboard!N2</c:f>
              <c:strCache>
                <c:ptCount val="1"/>
                <c:pt idx="0">
                  <c:v>Horas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Dashboard!$M$3:$M$9</c:f>
              <c:strCache>
                <c:ptCount val="7"/>
                <c:pt idx="0">
                  <c:v>Andres Sebastián Avendaño Pedraza </c:v>
                </c:pt>
                <c:pt idx="1">
                  <c:v>Santiago Restrepo Arismendy </c:v>
                </c:pt>
                <c:pt idx="2">
                  <c:v>Vanessa Gómez López</c:v>
                </c:pt>
                <c:pt idx="3">
                  <c:v>Juan Diego Murillo Rivas </c:v>
                </c:pt>
                <c:pt idx="4">
                  <c:v>Sofía Arismendy Quintero </c:v>
                </c:pt>
                <c:pt idx="5">
                  <c:v>Miguel Ángel Mejía Barrera </c:v>
                </c:pt>
                <c:pt idx="6">
                  <c:v>Brahian Danilo Hurtado Muñoz </c:v>
                </c:pt>
              </c:strCache>
            </c:strRef>
          </c:cat>
          <c:val>
            <c:numRef>
              <c:f>Dashboard!$N$3:$N$9</c:f>
              <c:numCache>
                <c:formatCode>General</c:formatCode>
                <c:ptCount val="7"/>
                <c:pt idx="0">
                  <c:v>11</c:v>
                </c:pt>
                <c:pt idx="1">
                  <c:v>14</c:v>
                </c:pt>
                <c:pt idx="2">
                  <c:v>16</c:v>
                </c:pt>
                <c:pt idx="3">
                  <c:v>5</c:v>
                </c:pt>
                <c:pt idx="4">
                  <c:v>11</c:v>
                </c:pt>
                <c:pt idx="5">
                  <c:v>10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A8-45C3-8D4C-290691D216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Equipo</a:t>
                </a:r>
              </a:p>
            </c:rich>
          </c:tx>
          <c:layout>
            <c:manualLayout>
              <c:xMode val="edge"/>
              <c:yMode val="edge"/>
              <c:x val="0.2946489795637719"/>
              <c:y val="0.92337142857142862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Horas</a:t>
                </a:r>
              </a:p>
            </c:rich>
          </c:tx>
          <c:layout>
            <c:manualLayout>
              <c:xMode val="edge"/>
              <c:yMode val="edge"/>
              <c:x val="0"/>
              <c:y val="0.36015298695236292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3957833456614654"/>
          <c:y val="4.7161587015787765E-2"/>
          <c:w val="0.34215277777777775"/>
          <c:h val="0.91215714285714289"/>
        </c:manualLayout>
      </c:layout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900"/>
            </a:pPr>
            <a:r>
              <a:rPr lang="en-US"/>
              <a:t>Carga semanal del equipo</a:t>
            </a:r>
          </a:p>
        </c:rich>
      </c:tx>
      <c:layout>
        <c:manualLayout>
          <c:xMode val="edge"/>
          <c:yMode val="edge"/>
          <c:x val="0.29438035852220334"/>
          <c:y val="0"/>
        </c:manualLayout>
      </c:layout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Dashboard!Q2</c:f>
              <c:strCache>
                <c:ptCount val="1"/>
                <c:pt idx="0">
                  <c:v>Horas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Dashboard!$P$3:$P$14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Dashboard!$Q$3:$Q$14</c:f>
              <c:numCache>
                <c:formatCode>General</c:formatCode>
                <c:ptCount val="12"/>
                <c:pt idx="0">
                  <c:v>32</c:v>
                </c:pt>
                <c:pt idx="1">
                  <c:v>36</c:v>
                </c:pt>
                <c:pt idx="2">
                  <c:v>42</c:v>
                </c:pt>
                <c:pt idx="3">
                  <c:v>38</c:v>
                </c:pt>
                <c:pt idx="4">
                  <c:v>44</c:v>
                </c:pt>
                <c:pt idx="5">
                  <c:v>46</c:v>
                </c:pt>
                <c:pt idx="6">
                  <c:v>48</c:v>
                </c:pt>
                <c:pt idx="7">
                  <c:v>50</c:v>
                </c:pt>
                <c:pt idx="8">
                  <c:v>40</c:v>
                </c:pt>
                <c:pt idx="9">
                  <c:v>36</c:v>
                </c:pt>
                <c:pt idx="10">
                  <c:v>34</c:v>
                </c:pt>
                <c:pt idx="11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B93-46C9-9E05-50A05614E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Semana</a:t>
                </a:r>
              </a:p>
            </c:rich>
          </c:tx>
          <c:layout>
            <c:manualLayout>
              <c:xMode val="edge"/>
              <c:yMode val="edge"/>
              <c:x val="0.34959305555555553"/>
              <c:y val="0.92337142857142862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Horas</a:t>
                </a:r>
              </a:p>
            </c:rich>
          </c:tx>
          <c:layout>
            <c:manualLayout>
              <c:xMode val="edge"/>
              <c:yMode val="edge"/>
              <c:x val="0"/>
              <c:y val="0.43028853051321858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762000</xdr:colOff>
      <xdr:row>8</xdr:row>
      <xdr:rowOff>0</xdr:rowOff>
    </xdr:from>
    <xdr:ext cx="3238500" cy="27241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9</xdr:col>
      <xdr:colOff>123825</xdr:colOff>
      <xdr:row>11</xdr:row>
      <xdr:rowOff>123825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  <a:ext uri="{147F2762-F138-4A5C-976F-8EAC2B608ADB}">
              <a16:predDERef xmlns:a16="http://schemas.microsoft.com/office/drawing/2014/main" pre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9</xdr:col>
      <xdr:colOff>180975</xdr:colOff>
      <xdr:row>27</xdr:row>
      <xdr:rowOff>38100</xdr:rowOff>
    </xdr:from>
    <xdr:ext cx="360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  <a:ext uri="{147F2762-F138-4A5C-976F-8EAC2B608ADB}">
              <a16:predDERef xmlns:a16="http://schemas.microsoft.com/office/drawing/2014/main" pre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amRoster" displayName="TeamRoster" ref="A3:E10">
  <autoFilter ref="A3:E10" xr:uid="{00000000-0009-0000-0100-000001000000}"/>
  <tableColumns count="5">
    <tableColumn id="1" xr3:uid="{00000000-0010-0000-0000-000001000000}" name="Member ID"/>
    <tableColumn id="2" xr3:uid="{00000000-0010-0000-0000-000002000000}" name="Nombre"/>
    <tableColumn id="3" xr3:uid="{00000000-0010-0000-0000-000003000000}" name="Rol"/>
    <tableColumn id="4" xr3:uid="{00000000-0010-0000-0000-000004000000}" name="Correo"/>
    <tableColumn id="5" xr3:uid="{00000000-0010-0000-0000-000005000000}" name="Responsabilida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jectPlan" displayName="ProjectPlan" ref="A3:G10">
  <autoFilter ref="A3:G10" xr:uid="{00000000-0009-0000-0100-000002000000}"/>
  <tableColumns count="7">
    <tableColumn id="1" xr3:uid="{00000000-0010-0000-0100-000001000000}" name="Phase ID"/>
    <tableColumn id="2" xr3:uid="{00000000-0010-0000-0100-000002000000}" name="Fase"/>
    <tableColumn id="3" xr3:uid="{00000000-0010-0000-0100-000003000000}" name="Inicio"/>
    <tableColumn id="4" xr3:uid="{00000000-0010-0000-0100-000004000000}" name="Fin"/>
    <tableColumn id="5" xr3:uid="{00000000-0010-0000-0100-000005000000}" name="Responsable"/>
    <tableColumn id="6" xr3:uid="{00000000-0010-0000-0100-000006000000}" name="Estado"/>
    <tableColumn id="7" xr3:uid="{00000000-0010-0000-0100-000007000000}" name="(EJEMPLOS) Entregab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skPlanning" displayName="TaskPlanning" ref="A3:H15">
  <autoFilter ref="A3:H15" xr:uid="{00000000-0009-0000-0100-000003000000}"/>
  <tableColumns count="8">
    <tableColumn id="1" xr3:uid="{00000000-0010-0000-0200-000001000000}" name="Task ID"/>
    <tableColumn id="2" xr3:uid="{00000000-0010-0000-0200-000002000000}" name="Tarea"/>
    <tableColumn id="3" xr3:uid="{00000000-0010-0000-0200-000003000000}" name="Fase"/>
    <tableColumn id="4" xr3:uid="{00000000-0010-0000-0200-000004000000}" name="Responsable"/>
    <tableColumn id="5" xr3:uid="{00000000-0010-0000-0200-000005000000}" name="Prioridad"/>
    <tableColumn id="6" xr3:uid="{00000000-0010-0000-0200-000006000000}" name="Estado"/>
    <tableColumn id="7" xr3:uid="{00000000-0010-0000-0200-000007000000}" name="Horas est."/>
    <tableColumn id="8" xr3:uid="{00000000-0010-0000-0200-000008000000}" name="Horas real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imeTracking" displayName="TimeTracking" ref="A3:E19">
  <autoFilter ref="A3:E19" xr:uid="{00000000-0009-0000-0100-000004000000}"/>
  <tableColumns count="5">
    <tableColumn id="1" xr3:uid="{00000000-0010-0000-0300-000001000000}" name="Fecha"/>
    <tableColumn id="2" xr3:uid="{00000000-0010-0000-0300-000002000000}" name="Miembro"/>
    <tableColumn id="3" xr3:uid="{00000000-0010-0000-0300-000003000000}" name="Task ID"/>
    <tableColumn id="4" xr3:uid="{00000000-0010-0000-0300-000004000000}" name="Actividad"/>
    <tableColumn id="5" xr3:uid="{00000000-0010-0000-0300-000005000000}" name="Hora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efectLog" displayName="DefectLog" ref="A3:H7">
  <autoFilter ref="A3:H7" xr:uid="{00000000-0009-0000-0100-000005000000}"/>
  <tableColumns count="8">
    <tableColumn id="1" xr3:uid="{00000000-0010-0000-0400-000001000000}" name="Defect ID"/>
    <tableColumn id="2" xr3:uid="{00000000-0010-0000-0400-000002000000}" name="Fecha"/>
    <tableColumn id="3" xr3:uid="{00000000-0010-0000-0400-000003000000}" name="Módulo"/>
    <tableColumn id="4" xr3:uid="{00000000-0010-0000-0400-000004000000}" name="Descripción"/>
    <tableColumn id="5" xr3:uid="{00000000-0010-0000-0400-000005000000}" name="Severidad"/>
    <tableColumn id="6" xr3:uid="{00000000-0010-0000-0400-000006000000}" name="Estado"/>
    <tableColumn id="7" xr3:uid="{00000000-0010-0000-0400-000007000000}" name="Reportado por" dataDxfId="0"/>
    <tableColumn id="8" xr3:uid="{00000000-0010-0000-0400-000008000000}" name="Fecha cier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iskLog" displayName="RiskLog" ref="A3:G7">
  <autoFilter ref="A3:G7" xr:uid="{00000000-0009-0000-0100-000006000000}"/>
  <tableColumns count="7">
    <tableColumn id="1" xr3:uid="{00000000-0010-0000-0500-000001000000}" name="Risk ID"/>
    <tableColumn id="2" xr3:uid="{00000000-0010-0000-0500-000002000000}" name="Riesgo"/>
    <tableColumn id="3" xr3:uid="{00000000-0010-0000-0500-000003000000}" name="Probabilidad"/>
    <tableColumn id="4" xr3:uid="{00000000-0010-0000-0500-000004000000}" name="Impacto"/>
    <tableColumn id="5" xr3:uid="{00000000-0010-0000-0500-000005000000}" name="Mitigación"/>
    <tableColumn id="6" xr3:uid="{00000000-0010-0000-0500-000006000000}" name="Responsable"/>
    <tableColumn id="7" xr3:uid="{00000000-0010-0000-0500-000007000000}" name="Estad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WeeklySummary" displayName="WeeklySummary" ref="A3:E15">
  <autoFilter ref="A3:E15" xr:uid="{00000000-0009-0000-0100-000007000000}"/>
  <tableColumns count="5">
    <tableColumn id="1" xr3:uid="{00000000-0010-0000-0600-000001000000}" name="Semana"/>
    <tableColumn id="2" xr3:uid="{00000000-0010-0000-0600-000002000000}" name="Enfoque principal"/>
    <tableColumn id="3" xr3:uid="{00000000-0010-0000-0600-000003000000}" name="Horas del equipo"/>
    <tableColumn id="4" xr3:uid="{00000000-0010-0000-0600-000004000000}" name="Defectos abiertos"/>
    <tableColumn id="5" xr3:uid="{00000000-0010-0000-0600-000005000000}" name="Result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brahiandanilohurtadomunoz@fumc.edu.co" TargetMode="External"/><Relationship Id="rId7" Type="http://schemas.openxmlformats.org/officeDocument/2006/relationships/hyperlink" Target="mailto:sofiaarismendyquintero@fumc.edu.co" TargetMode="External"/><Relationship Id="rId2" Type="http://schemas.openxmlformats.org/officeDocument/2006/relationships/hyperlink" Target="mailto:vanessagomezlopez@fumc.edu.co" TargetMode="External"/><Relationship Id="rId1" Type="http://schemas.openxmlformats.org/officeDocument/2006/relationships/hyperlink" Target="mailto:andressebastianavendanopedraza@fumc.edu.co" TargetMode="External"/><Relationship Id="rId6" Type="http://schemas.openxmlformats.org/officeDocument/2006/relationships/hyperlink" Target="mailto:santiagorestrepoarismendy@fumc.edu.co" TargetMode="External"/><Relationship Id="rId5" Type="http://schemas.openxmlformats.org/officeDocument/2006/relationships/hyperlink" Target="mailto:miguelangelmejiabarrera@fumc.edu.co" TargetMode="External"/><Relationship Id="rId4" Type="http://schemas.openxmlformats.org/officeDocument/2006/relationships/hyperlink" Target="mailto:juandiegomurillorivas@fumc.edu.co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"/>
  <sheetViews>
    <sheetView showGridLines="0" workbookViewId="0">
      <pane ySplit="2" topLeftCell="A3" activePane="bottomLeft" state="frozen"/>
      <selection pane="bottomLeft" activeCell="J3" sqref="J3"/>
    </sheetView>
  </sheetViews>
  <sheetFormatPr defaultRowHeight="15"/>
  <cols>
    <col min="1" max="1" width="18" customWidth="1"/>
    <col min="2" max="2" width="20" customWidth="1"/>
    <col min="3" max="3" width="4" customWidth="1"/>
    <col min="4" max="4" width="16" customWidth="1"/>
    <col min="5" max="5" width="12" customWidth="1"/>
    <col min="6" max="6" width="21.85546875" customWidth="1"/>
    <col min="7" max="8" width="12" customWidth="1"/>
    <col min="10" max="10" width="14" customWidth="1"/>
    <col min="11" max="11" width="10" customWidth="1"/>
    <col min="13" max="13" width="31.7109375" customWidth="1"/>
    <col min="14" max="14" width="10" customWidth="1"/>
    <col min="16" max="17" width="10" customWidth="1"/>
  </cols>
  <sheetData>
    <row r="1" spans="1:17">
      <c r="A1" s="16" t="s">
        <v>0</v>
      </c>
      <c r="B1" s="17"/>
      <c r="C1" s="17"/>
      <c r="D1" s="17"/>
      <c r="E1" s="17"/>
      <c r="F1" s="17"/>
      <c r="G1" s="17"/>
      <c r="H1" s="17"/>
    </row>
    <row r="2" spans="1:17">
      <c r="J2" t="s">
        <v>1</v>
      </c>
      <c r="K2" t="s">
        <v>2</v>
      </c>
      <c r="M2" t="s">
        <v>3</v>
      </c>
      <c r="N2" t="s">
        <v>4</v>
      </c>
      <c r="P2" t="s">
        <v>5</v>
      </c>
      <c r="Q2" t="s">
        <v>4</v>
      </c>
    </row>
    <row r="3" spans="1:17" ht="30.75">
      <c r="A3" s="1" t="s">
        <v>6</v>
      </c>
      <c r="B3" s="2" t="s">
        <v>7</v>
      </c>
      <c r="D3" s="3" t="s">
        <v>8</v>
      </c>
      <c r="F3" s="3" t="s">
        <v>9</v>
      </c>
      <c r="J3" s="4" t="s">
        <v>10</v>
      </c>
      <c r="K3" s="4">
        <f>COUNTIF(Task_Planning!F4:F100,"Done")</f>
        <v>1</v>
      </c>
      <c r="M3" s="15" t="s">
        <v>11</v>
      </c>
      <c r="N3" s="4">
        <f>SUMIF(Time_Tracking!B4:B191,M3,Time_Tracking!E4:E191)</f>
        <v>11</v>
      </c>
      <c r="P3" s="4">
        <v>1</v>
      </c>
      <c r="Q3" s="4">
        <f>Weekly_Summary!C4</f>
        <v>32</v>
      </c>
    </row>
    <row r="4" spans="1:17" ht="30.75">
      <c r="A4" s="1" t="s">
        <v>12</v>
      </c>
      <c r="B4" s="2" t="s">
        <v>13</v>
      </c>
      <c r="D4" s="5">
        <f>COUNTA(Task_Planning!A4:A100)</f>
        <v>12</v>
      </c>
      <c r="F4" s="5">
        <f>COUNTIF(Task_Planning!F4:F100,"Done")</f>
        <v>1</v>
      </c>
      <c r="J4" s="4" t="s">
        <v>14</v>
      </c>
      <c r="K4" s="4">
        <f>COUNTIF(Task_Planning!F4:F100,"In Progress")</f>
        <v>0</v>
      </c>
      <c r="M4" s="15" t="s">
        <v>15</v>
      </c>
      <c r="N4" s="4">
        <f>SUMIF(Time_Tracking!B4:B191,M4,Time_Tracking!E4:E191)</f>
        <v>14</v>
      </c>
      <c r="P4" s="4">
        <v>2</v>
      </c>
      <c r="Q4" s="4">
        <f>Weekly_Summary!C5</f>
        <v>36</v>
      </c>
    </row>
    <row r="5" spans="1:17">
      <c r="A5" s="1" t="s">
        <v>16</v>
      </c>
      <c r="B5" s="6">
        <v>46094</v>
      </c>
      <c r="D5" s="3" t="s">
        <v>17</v>
      </c>
      <c r="F5" s="3" t="s">
        <v>18</v>
      </c>
      <c r="J5" s="4" t="s">
        <v>19</v>
      </c>
      <c r="K5" s="4">
        <f>COUNTIF(Task_Planning!F4:F100,"Not Started")</f>
        <v>11</v>
      </c>
      <c r="M5" s="15" t="s">
        <v>20</v>
      </c>
      <c r="N5" s="4">
        <f>SUMIF(Time_Tracking!B4:B191,M5,Time_Tracking!E4:E191)</f>
        <v>16</v>
      </c>
      <c r="P5" s="4">
        <v>3</v>
      </c>
      <c r="Q5" s="4">
        <f>Weekly_Summary!C6</f>
        <v>42</v>
      </c>
    </row>
    <row r="6" spans="1:17" ht="18.75">
      <c r="A6" s="1" t="s">
        <v>21</v>
      </c>
      <c r="B6" s="6">
        <v>46180</v>
      </c>
      <c r="D6" s="5">
        <f>COUNTIF(Defect_Log!F4:F100,"Open")+COUNTIF(Defect_Log!F4:F100,"In Review")</f>
        <v>3</v>
      </c>
      <c r="F6" s="5">
        <f>SUM(Time_Tracking!E4:E191)</f>
        <v>82</v>
      </c>
      <c r="M6" s="15" t="s">
        <v>22</v>
      </c>
      <c r="N6" s="4">
        <f>SUMIF(Time_Tracking!B4:B191,M6,Time_Tracking!E4:E191)</f>
        <v>5</v>
      </c>
      <c r="P6" s="4">
        <v>4</v>
      </c>
      <c r="Q6" s="4">
        <f>Weekly_Summary!C7</f>
        <v>38</v>
      </c>
    </row>
    <row r="7" spans="1:17" ht="30.75">
      <c r="M7" s="15" t="s">
        <v>23</v>
      </c>
      <c r="N7" s="4">
        <f>SUMIF(Time_Tracking!B4:B191,M7,Time_Tracking!E4:E191)</f>
        <v>11</v>
      </c>
      <c r="P7" s="4">
        <v>5</v>
      </c>
      <c r="Q7" s="4">
        <f>Weekly_Summary!C8</f>
        <v>44</v>
      </c>
    </row>
    <row r="8" spans="1:17" ht="30.75">
      <c r="M8" s="15" t="s">
        <v>24</v>
      </c>
      <c r="N8" s="4">
        <f>SUMIF(Time_Tracking!B4:B191,M8,Time_Tracking!E4:E191)</f>
        <v>10</v>
      </c>
      <c r="P8" s="4">
        <v>6</v>
      </c>
      <c r="Q8" s="4">
        <f>Weekly_Summary!C9</f>
        <v>46</v>
      </c>
    </row>
    <row r="9" spans="1:17" ht="30.75">
      <c r="M9" s="15" t="s">
        <v>25</v>
      </c>
      <c r="N9" s="4">
        <f>SUMIF(Time_Tracking!B4:B191,M9,Time_Tracking!E4:E191)</f>
        <v>9</v>
      </c>
      <c r="P9" s="4">
        <v>7</v>
      </c>
      <c r="Q9" s="4">
        <f>Weekly_Summary!C10</f>
        <v>48</v>
      </c>
    </row>
    <row r="10" spans="1:17">
      <c r="P10" s="4">
        <v>8</v>
      </c>
      <c r="Q10" s="4">
        <f>Weekly_Summary!C11</f>
        <v>50</v>
      </c>
    </row>
    <row r="11" spans="1:17">
      <c r="P11" s="4">
        <v>9</v>
      </c>
      <c r="Q11" s="4">
        <f>Weekly_Summary!C12</f>
        <v>40</v>
      </c>
    </row>
    <row r="12" spans="1:17">
      <c r="P12" s="4">
        <v>10</v>
      </c>
      <c r="Q12" s="4">
        <f>Weekly_Summary!C13</f>
        <v>36</v>
      </c>
    </row>
    <row r="13" spans="1:17">
      <c r="P13" s="4">
        <v>11</v>
      </c>
      <c r="Q13" s="4">
        <f>Weekly_Summary!C14</f>
        <v>34</v>
      </c>
    </row>
    <row r="14" spans="1:17">
      <c r="P14" s="4">
        <v>12</v>
      </c>
      <c r="Q14" s="4">
        <f>Weekly_Summary!C15</f>
        <v>30</v>
      </c>
    </row>
    <row r="20" spans="19:19">
      <c r="S20" t="s">
        <v>26</v>
      </c>
    </row>
  </sheetData>
  <mergeCells count="1">
    <mergeCell ref="A1:H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showGridLines="0" workbookViewId="0">
      <pane ySplit="3" topLeftCell="A4" activePane="bottomLeft" state="frozen"/>
      <selection pane="bottomLeft" activeCell="D16" sqref="D16"/>
    </sheetView>
  </sheetViews>
  <sheetFormatPr defaultRowHeight="15"/>
  <cols>
    <col min="1" max="1" width="16.140625" customWidth="1"/>
    <col min="2" max="2" width="32" customWidth="1"/>
    <col min="3" max="3" width="17" customWidth="1"/>
    <col min="4" max="4" width="54.5703125" customWidth="1"/>
    <col min="5" max="5" width="28" customWidth="1"/>
  </cols>
  <sheetData>
    <row r="1" spans="1:5" ht="18.75">
      <c r="A1" s="16" t="s">
        <v>27</v>
      </c>
      <c r="B1" s="17"/>
      <c r="C1" s="17"/>
      <c r="D1" s="17"/>
      <c r="E1" s="17"/>
    </row>
    <row r="3" spans="1:5">
      <c r="A3" s="7" t="s">
        <v>28</v>
      </c>
      <c r="B3" s="7" t="s">
        <v>29</v>
      </c>
      <c r="C3" s="7" t="s">
        <v>30</v>
      </c>
      <c r="D3" s="7" t="s">
        <v>31</v>
      </c>
      <c r="E3" s="7" t="s">
        <v>32</v>
      </c>
    </row>
    <row r="4" spans="1:5" ht="15.75" customHeight="1">
      <c r="A4" s="8" t="s">
        <v>33</v>
      </c>
      <c r="B4" s="9" t="s">
        <v>11</v>
      </c>
      <c r="C4" s="8" t="s">
        <v>34</v>
      </c>
      <c r="D4" s="12" t="s">
        <v>35</v>
      </c>
      <c r="E4" s="9" t="s">
        <v>36</v>
      </c>
    </row>
    <row r="5" spans="1:5">
      <c r="A5" s="8" t="s">
        <v>37</v>
      </c>
      <c r="B5" s="9" t="s">
        <v>25</v>
      </c>
      <c r="C5" s="8" t="s">
        <v>34</v>
      </c>
      <c r="D5" s="12" t="s">
        <v>38</v>
      </c>
      <c r="E5" s="9" t="s">
        <v>39</v>
      </c>
    </row>
    <row r="6" spans="1:5">
      <c r="A6" s="8" t="s">
        <v>40</v>
      </c>
      <c r="B6" s="9" t="s">
        <v>22</v>
      </c>
      <c r="C6" s="8" t="s">
        <v>41</v>
      </c>
      <c r="D6" s="12" t="s">
        <v>42</v>
      </c>
      <c r="E6" s="9" t="s">
        <v>43</v>
      </c>
    </row>
    <row r="7" spans="1:5">
      <c r="A7" s="8" t="s">
        <v>44</v>
      </c>
      <c r="B7" s="9" t="s">
        <v>24</v>
      </c>
      <c r="C7" s="8" t="s">
        <v>45</v>
      </c>
      <c r="D7" s="12" t="s">
        <v>46</v>
      </c>
      <c r="E7" s="9" t="s">
        <v>47</v>
      </c>
    </row>
    <row r="8" spans="1:5">
      <c r="A8" s="8" t="s">
        <v>48</v>
      </c>
      <c r="B8" s="9" t="s">
        <v>15</v>
      </c>
      <c r="C8" s="8" t="s">
        <v>49</v>
      </c>
      <c r="D8" s="12" t="s">
        <v>50</v>
      </c>
      <c r="E8" s="9" t="s">
        <v>51</v>
      </c>
    </row>
    <row r="9" spans="1:5">
      <c r="A9" s="8" t="s">
        <v>52</v>
      </c>
      <c r="B9" s="9" t="s">
        <v>23</v>
      </c>
      <c r="C9" s="8" t="s">
        <v>34</v>
      </c>
      <c r="D9" s="12" t="s">
        <v>53</v>
      </c>
      <c r="E9" s="9" t="s">
        <v>54</v>
      </c>
    </row>
    <row r="10" spans="1:5">
      <c r="A10" s="8" t="s">
        <v>55</v>
      </c>
      <c r="B10" s="9" t="s">
        <v>20</v>
      </c>
      <c r="C10" s="8" t="s">
        <v>45</v>
      </c>
      <c r="D10" s="12" t="s">
        <v>56</v>
      </c>
      <c r="E10" s="9" t="s">
        <v>57</v>
      </c>
    </row>
  </sheetData>
  <mergeCells count="1">
    <mergeCell ref="A1:E1"/>
  </mergeCells>
  <hyperlinks>
    <hyperlink ref="D4" r:id="rId1" xr:uid="{DCAD72F5-A2CD-4BEE-982D-80A62F7E0BD3}"/>
    <hyperlink ref="D10" r:id="rId2" xr:uid="{668427A5-7933-4F18-8D65-ABB2384DC4F2}"/>
    <hyperlink ref="D5" r:id="rId3" xr:uid="{4DFF40A6-7B39-45D9-994F-3211DA9B7FFE}"/>
    <hyperlink ref="D6" r:id="rId4" xr:uid="{507AAA8F-038F-4432-A2A7-1E3D17CB1543}"/>
    <hyperlink ref="D7" r:id="rId5" xr:uid="{EA65D287-1DBF-4C16-A4F3-00846D49FBF5}"/>
    <hyperlink ref="D8" r:id="rId6" xr:uid="{102D5DE6-FC6F-4A19-ABA1-6DB398114D52}"/>
    <hyperlink ref="D9" r:id="rId7" xr:uid="{601CBEE8-A15B-43E6-A4D4-5E45276241CC}"/>
  </hyperlinks>
  <pageMargins left="0.75" right="0.75" top="1" bottom="1" header="0.5" footer="0.5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showGridLines="0" workbookViewId="0">
      <pane ySplit="3" topLeftCell="A4" activePane="bottomLeft" state="frozen"/>
      <selection pane="bottomLeft" activeCell="F4" sqref="F4"/>
    </sheetView>
  </sheetViews>
  <sheetFormatPr defaultRowHeight="15"/>
  <cols>
    <col min="1" max="1" width="15" customWidth="1"/>
    <col min="2" max="2" width="28" customWidth="1"/>
    <col min="3" max="4" width="14" customWidth="1"/>
    <col min="5" max="5" width="52.140625" customWidth="1"/>
    <col min="6" max="6" width="14" customWidth="1"/>
    <col min="7" max="7" width="28" customWidth="1"/>
  </cols>
  <sheetData>
    <row r="1" spans="1:7">
      <c r="A1" s="16" t="s">
        <v>58</v>
      </c>
      <c r="B1" s="17"/>
      <c r="C1" s="17"/>
      <c r="D1" s="17"/>
      <c r="E1" s="17"/>
      <c r="F1" s="17"/>
      <c r="G1" s="17"/>
    </row>
    <row r="3" spans="1:7">
      <c r="A3" s="7" t="s">
        <v>59</v>
      </c>
      <c r="B3" s="7" t="s">
        <v>60</v>
      </c>
      <c r="C3" s="7" t="s">
        <v>16</v>
      </c>
      <c r="D3" s="7" t="s">
        <v>61</v>
      </c>
      <c r="E3" s="7" t="s">
        <v>62</v>
      </c>
      <c r="F3" s="7" t="s">
        <v>63</v>
      </c>
      <c r="G3" s="7" t="s">
        <v>64</v>
      </c>
    </row>
    <row r="4" spans="1:7">
      <c r="A4" s="8" t="s">
        <v>65</v>
      </c>
      <c r="B4" s="9" t="s">
        <v>66</v>
      </c>
      <c r="C4" s="10">
        <v>46094</v>
      </c>
      <c r="D4" s="11">
        <v>46101</v>
      </c>
      <c r="E4" s="11" t="s">
        <v>20</v>
      </c>
      <c r="F4" s="4" t="s">
        <v>10</v>
      </c>
      <c r="G4" s="8" t="s">
        <v>67</v>
      </c>
    </row>
    <row r="5" spans="1:7">
      <c r="A5" s="8" t="s">
        <v>68</v>
      </c>
      <c r="B5" s="9" t="s">
        <v>69</v>
      </c>
      <c r="C5" s="10"/>
      <c r="D5" s="11"/>
      <c r="E5" s="11" t="s">
        <v>22</v>
      </c>
      <c r="F5" s="8" t="s">
        <v>19</v>
      </c>
      <c r="G5" s="8" t="s">
        <v>70</v>
      </c>
    </row>
    <row r="6" spans="1:7">
      <c r="A6" s="8" t="s">
        <v>71</v>
      </c>
      <c r="B6" s="9" t="s">
        <v>72</v>
      </c>
      <c r="C6" s="10"/>
      <c r="D6" s="11"/>
      <c r="E6" s="14" t="s">
        <v>11</v>
      </c>
      <c r="F6" s="8" t="s">
        <v>19</v>
      </c>
      <c r="G6" s="8" t="s">
        <v>73</v>
      </c>
    </row>
    <row r="7" spans="1:7">
      <c r="A7" s="8" t="s">
        <v>74</v>
      </c>
      <c r="B7" s="9" t="s">
        <v>75</v>
      </c>
      <c r="C7" s="10"/>
      <c r="D7" s="11"/>
      <c r="E7" s="11" t="s">
        <v>20</v>
      </c>
      <c r="F7" s="8" t="s">
        <v>19</v>
      </c>
      <c r="G7" s="8" t="s">
        <v>76</v>
      </c>
    </row>
    <row r="8" spans="1:7">
      <c r="A8" s="8" t="s">
        <v>77</v>
      </c>
      <c r="B8" s="9" t="s">
        <v>78</v>
      </c>
      <c r="C8" s="10"/>
      <c r="D8" s="11"/>
      <c r="E8" s="14" t="s">
        <v>22</v>
      </c>
      <c r="F8" s="8" t="s">
        <v>19</v>
      </c>
      <c r="G8" s="8" t="s">
        <v>79</v>
      </c>
    </row>
    <row r="9" spans="1:7">
      <c r="A9" s="8" t="s">
        <v>80</v>
      </c>
      <c r="B9" s="9" t="s">
        <v>81</v>
      </c>
      <c r="C9" s="10"/>
      <c r="D9" s="11"/>
      <c r="E9" s="11" t="s">
        <v>15</v>
      </c>
      <c r="F9" s="8" t="s">
        <v>19</v>
      </c>
      <c r="G9" s="8" t="s">
        <v>82</v>
      </c>
    </row>
    <row r="10" spans="1:7">
      <c r="A10" s="8" t="s">
        <v>83</v>
      </c>
      <c r="B10" s="9" t="s">
        <v>84</v>
      </c>
      <c r="C10" s="10"/>
      <c r="D10" s="11"/>
      <c r="E10" s="15" t="s">
        <v>24</v>
      </c>
      <c r="F10" s="8" t="s">
        <v>19</v>
      </c>
      <c r="G10" s="8" t="s">
        <v>85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"/>
  <sheetViews>
    <sheetView showGridLines="0" workbookViewId="0">
      <pane ySplit="3" topLeftCell="A4" activePane="bottomLeft" state="frozen"/>
      <selection pane="bottomLeft" activeCell="F4" sqref="F4"/>
    </sheetView>
  </sheetViews>
  <sheetFormatPr defaultRowHeight="15"/>
  <cols>
    <col min="1" max="1" width="16.140625" customWidth="1"/>
    <col min="2" max="2" width="36" customWidth="1"/>
    <col min="3" max="3" width="24" customWidth="1"/>
    <col min="4" max="4" width="30.5703125" customWidth="1"/>
    <col min="5" max="5" width="12" customWidth="1"/>
    <col min="6" max="7" width="14" customWidth="1"/>
    <col min="8" max="8" width="21.85546875" customWidth="1"/>
  </cols>
  <sheetData>
    <row r="1" spans="1:8">
      <c r="A1" s="16" t="s">
        <v>86</v>
      </c>
      <c r="B1" s="17"/>
      <c r="C1" s="17"/>
      <c r="D1" s="17"/>
      <c r="E1" s="17"/>
      <c r="F1" s="17"/>
      <c r="G1" s="17"/>
      <c r="H1" s="17"/>
    </row>
    <row r="3" spans="1:8">
      <c r="A3" s="7" t="s">
        <v>87</v>
      </c>
      <c r="B3" s="7" t="s">
        <v>88</v>
      </c>
      <c r="C3" s="7" t="s">
        <v>60</v>
      </c>
      <c r="D3" s="7" t="s">
        <v>62</v>
      </c>
      <c r="E3" s="7" t="s">
        <v>89</v>
      </c>
      <c r="F3" s="7" t="s">
        <v>63</v>
      </c>
      <c r="G3" s="7" t="s">
        <v>90</v>
      </c>
      <c r="H3" s="7" t="s">
        <v>91</v>
      </c>
    </row>
    <row r="4" spans="1:8">
      <c r="A4" s="8" t="s">
        <v>92</v>
      </c>
      <c r="B4" s="9" t="s">
        <v>93</v>
      </c>
      <c r="C4" s="8" t="s">
        <v>66</v>
      </c>
      <c r="D4" s="14" t="s">
        <v>20</v>
      </c>
      <c r="E4" s="9" t="s">
        <v>94</v>
      </c>
      <c r="F4" s="4" t="s">
        <v>10</v>
      </c>
      <c r="G4" s="8">
        <v>12</v>
      </c>
      <c r="H4" s="8">
        <v>14</v>
      </c>
    </row>
    <row r="5" spans="1:8" ht="15" customHeight="1">
      <c r="A5" s="8" t="s">
        <v>95</v>
      </c>
      <c r="B5" s="9" t="s">
        <v>96</v>
      </c>
      <c r="C5" s="8" t="s">
        <v>69</v>
      </c>
      <c r="D5" s="9" t="s">
        <v>22</v>
      </c>
      <c r="E5" s="9" t="s">
        <v>94</v>
      </c>
      <c r="F5" s="8" t="s">
        <v>19</v>
      </c>
      <c r="G5" s="8"/>
      <c r="H5" s="8"/>
    </row>
    <row r="6" spans="1:8">
      <c r="A6" s="8" t="s">
        <v>97</v>
      </c>
      <c r="B6" s="9" t="s">
        <v>98</v>
      </c>
      <c r="C6" s="8" t="s">
        <v>69</v>
      </c>
      <c r="D6" s="15" t="s">
        <v>24</v>
      </c>
      <c r="E6" s="9" t="s">
        <v>94</v>
      </c>
      <c r="F6" s="8" t="s">
        <v>19</v>
      </c>
      <c r="G6" s="8"/>
      <c r="H6" s="8"/>
    </row>
    <row r="7" spans="1:8">
      <c r="A7" s="8" t="s">
        <v>99</v>
      </c>
      <c r="B7" s="9" t="s">
        <v>100</v>
      </c>
      <c r="C7" s="8" t="s">
        <v>75</v>
      </c>
      <c r="D7" s="9" t="s">
        <v>20</v>
      </c>
      <c r="E7" s="9" t="s">
        <v>94</v>
      </c>
      <c r="F7" s="8" t="s">
        <v>19</v>
      </c>
      <c r="G7" s="8"/>
      <c r="H7" s="8"/>
    </row>
    <row r="8" spans="1:8" ht="30.75">
      <c r="A8" s="8" t="s">
        <v>101</v>
      </c>
      <c r="B8" s="9" t="s">
        <v>102</v>
      </c>
      <c r="C8" s="8" t="s">
        <v>72</v>
      </c>
      <c r="D8" s="14" t="s">
        <v>11</v>
      </c>
      <c r="E8" s="9" t="s">
        <v>94</v>
      </c>
      <c r="F8" s="8" t="s">
        <v>19</v>
      </c>
      <c r="G8" s="8"/>
      <c r="H8" s="8"/>
    </row>
    <row r="9" spans="1:8" ht="16.5" customHeight="1">
      <c r="A9" s="8" t="s">
        <v>103</v>
      </c>
      <c r="B9" s="9" t="s">
        <v>104</v>
      </c>
      <c r="C9" s="8" t="s">
        <v>75</v>
      </c>
      <c r="D9" s="15" t="s">
        <v>24</v>
      </c>
      <c r="E9" s="9" t="s">
        <v>94</v>
      </c>
      <c r="F9" s="8" t="s">
        <v>19</v>
      </c>
      <c r="G9" s="8"/>
      <c r="H9" s="8"/>
    </row>
    <row r="10" spans="1:8" ht="15" customHeight="1">
      <c r="A10" s="8" t="s">
        <v>105</v>
      </c>
      <c r="B10" s="9" t="s">
        <v>106</v>
      </c>
      <c r="C10" s="8" t="s">
        <v>72</v>
      </c>
      <c r="D10" s="15" t="s">
        <v>23</v>
      </c>
      <c r="E10" s="9" t="s">
        <v>107</v>
      </c>
      <c r="F10" s="8" t="s">
        <v>19</v>
      </c>
      <c r="G10" s="8"/>
      <c r="H10" s="8"/>
    </row>
    <row r="11" spans="1:8" ht="18.75" customHeight="1">
      <c r="A11" s="8" t="s">
        <v>108</v>
      </c>
      <c r="B11" s="9" t="s">
        <v>109</v>
      </c>
      <c r="C11" s="8" t="s">
        <v>72</v>
      </c>
      <c r="D11" s="15" t="s">
        <v>25</v>
      </c>
      <c r="E11" s="9" t="s">
        <v>94</v>
      </c>
      <c r="F11" s="8" t="s">
        <v>19</v>
      </c>
      <c r="G11" s="8"/>
      <c r="H11" s="8"/>
    </row>
    <row r="12" spans="1:8">
      <c r="A12" s="8" t="s">
        <v>110</v>
      </c>
      <c r="B12" s="9" t="s">
        <v>111</v>
      </c>
      <c r="C12" s="8" t="s">
        <v>112</v>
      </c>
      <c r="D12" s="14" t="s">
        <v>22</v>
      </c>
      <c r="E12" s="9" t="s">
        <v>94</v>
      </c>
      <c r="F12" s="8" t="s">
        <v>19</v>
      </c>
      <c r="G12" s="8"/>
      <c r="H12" s="8"/>
    </row>
    <row r="13" spans="1:8" ht="15" customHeight="1">
      <c r="A13" s="8" t="s">
        <v>113</v>
      </c>
      <c r="B13" s="9" t="s">
        <v>114</v>
      </c>
      <c r="C13" s="8" t="s">
        <v>81</v>
      </c>
      <c r="D13" s="9" t="s">
        <v>15</v>
      </c>
      <c r="E13" s="9" t="s">
        <v>94</v>
      </c>
      <c r="F13" s="8" t="s">
        <v>19</v>
      </c>
      <c r="G13" s="8"/>
      <c r="H13" s="8"/>
    </row>
    <row r="14" spans="1:8">
      <c r="A14" s="8" t="s">
        <v>115</v>
      </c>
      <c r="B14" s="9" t="s">
        <v>116</v>
      </c>
      <c r="C14" s="8" t="s">
        <v>81</v>
      </c>
      <c r="D14" s="14" t="s">
        <v>20</v>
      </c>
      <c r="E14" s="9" t="s">
        <v>94</v>
      </c>
      <c r="F14" s="8" t="s">
        <v>19</v>
      </c>
      <c r="G14" s="8"/>
      <c r="H14" s="8"/>
    </row>
    <row r="15" spans="1:8">
      <c r="A15" s="8" t="s">
        <v>117</v>
      </c>
      <c r="B15" s="9" t="s">
        <v>118</v>
      </c>
      <c r="C15" s="8" t="s">
        <v>84</v>
      </c>
      <c r="D15" s="15" t="s">
        <v>24</v>
      </c>
      <c r="E15" s="9" t="s">
        <v>107</v>
      </c>
      <c r="F15" s="8" t="s">
        <v>19</v>
      </c>
      <c r="G15" s="8"/>
      <c r="H15" s="8"/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showGridLines="0" workbookViewId="0">
      <pane ySplit="3" topLeftCell="A4" activePane="bottomLeft" state="frozen"/>
      <selection pane="bottomLeft" activeCell="B4" sqref="B4"/>
    </sheetView>
  </sheetViews>
  <sheetFormatPr defaultRowHeight="15"/>
  <cols>
    <col min="1" max="1" width="14" customWidth="1"/>
    <col min="2" max="2" width="35.5703125" customWidth="1"/>
    <col min="3" max="3" width="12" customWidth="1"/>
    <col min="4" max="4" width="34" customWidth="1"/>
    <col min="5" max="5" width="10" customWidth="1"/>
  </cols>
  <sheetData>
    <row r="1" spans="1:5">
      <c r="A1" s="16" t="s">
        <v>119</v>
      </c>
      <c r="B1" s="17"/>
      <c r="C1" s="17"/>
      <c r="D1" s="17"/>
      <c r="E1" s="17"/>
    </row>
    <row r="3" spans="1:5">
      <c r="A3" s="7" t="s">
        <v>120</v>
      </c>
      <c r="B3" s="7" t="s">
        <v>3</v>
      </c>
      <c r="C3" s="7" t="s">
        <v>87</v>
      </c>
      <c r="D3" s="7" t="s">
        <v>121</v>
      </c>
      <c r="E3" s="7" t="s">
        <v>4</v>
      </c>
    </row>
    <row r="4" spans="1:5">
      <c r="A4" s="10">
        <v>46101</v>
      </c>
      <c r="B4" s="14" t="s">
        <v>20</v>
      </c>
      <c r="C4" s="8" t="s">
        <v>92</v>
      </c>
      <c r="D4" s="9" t="s">
        <v>122</v>
      </c>
      <c r="E4" s="9">
        <v>4</v>
      </c>
    </row>
    <row r="5" spans="1:5">
      <c r="A5" s="10"/>
      <c r="B5" s="10" t="s">
        <v>15</v>
      </c>
      <c r="C5" s="8" t="s">
        <v>92</v>
      </c>
      <c r="D5" s="9" t="s">
        <v>123</v>
      </c>
      <c r="E5" s="9">
        <v>5</v>
      </c>
    </row>
    <row r="6" spans="1:5">
      <c r="A6" s="10"/>
      <c r="B6" s="9" t="s">
        <v>124</v>
      </c>
      <c r="C6" s="8" t="s">
        <v>95</v>
      </c>
      <c r="D6" s="9" t="s">
        <v>125</v>
      </c>
      <c r="E6" s="9">
        <v>6</v>
      </c>
    </row>
    <row r="7" spans="1:5">
      <c r="A7" s="10"/>
      <c r="B7" s="15" t="s">
        <v>24</v>
      </c>
      <c r="C7" s="8" t="s">
        <v>97</v>
      </c>
      <c r="D7" s="9" t="s">
        <v>126</v>
      </c>
      <c r="E7" s="9">
        <v>6</v>
      </c>
    </row>
    <row r="8" spans="1:5">
      <c r="A8" s="10"/>
      <c r="B8" s="14" t="s">
        <v>11</v>
      </c>
      <c r="C8" s="8" t="s">
        <v>101</v>
      </c>
      <c r="D8" s="9" t="s">
        <v>127</v>
      </c>
      <c r="E8" s="9">
        <v>6</v>
      </c>
    </row>
    <row r="9" spans="1:5">
      <c r="A9" s="10"/>
      <c r="B9" s="15" t="s">
        <v>23</v>
      </c>
      <c r="C9" s="8" t="s">
        <v>105</v>
      </c>
      <c r="D9" s="9" t="s">
        <v>128</v>
      </c>
      <c r="E9" s="9">
        <v>5</v>
      </c>
    </row>
    <row r="10" spans="1:5">
      <c r="A10" s="10"/>
      <c r="B10" s="14" t="s">
        <v>20</v>
      </c>
      <c r="C10" s="8" t="s">
        <v>99</v>
      </c>
      <c r="D10" s="9" t="s">
        <v>129</v>
      </c>
      <c r="E10" s="9">
        <v>6</v>
      </c>
    </row>
    <row r="11" spans="1:5">
      <c r="A11" s="10"/>
      <c r="B11" s="15" t="s">
        <v>25</v>
      </c>
      <c r="C11" s="8" t="s">
        <v>108</v>
      </c>
      <c r="D11" s="9" t="s">
        <v>130</v>
      </c>
      <c r="E11" s="9">
        <v>4</v>
      </c>
    </row>
    <row r="12" spans="1:5">
      <c r="A12" s="10"/>
      <c r="B12" s="14" t="s">
        <v>11</v>
      </c>
      <c r="C12" s="8" t="s">
        <v>101</v>
      </c>
      <c r="D12" s="9" t="s">
        <v>131</v>
      </c>
      <c r="E12" s="9">
        <v>5</v>
      </c>
    </row>
    <row r="13" spans="1:5">
      <c r="A13" s="10"/>
      <c r="B13" s="15" t="s">
        <v>24</v>
      </c>
      <c r="C13" s="8" t="s">
        <v>103</v>
      </c>
      <c r="D13" s="9" t="s">
        <v>132</v>
      </c>
      <c r="E13" s="9">
        <v>4</v>
      </c>
    </row>
    <row r="14" spans="1:5">
      <c r="A14" s="10"/>
      <c r="B14" s="14" t="s">
        <v>20</v>
      </c>
      <c r="C14" s="8" t="s">
        <v>99</v>
      </c>
      <c r="D14" s="9" t="s">
        <v>133</v>
      </c>
      <c r="E14" s="9">
        <v>6</v>
      </c>
    </row>
    <row r="15" spans="1:5">
      <c r="A15" s="10"/>
      <c r="B15" s="10" t="s">
        <v>15</v>
      </c>
      <c r="C15" s="8" t="s">
        <v>113</v>
      </c>
      <c r="D15" s="9" t="s">
        <v>134</v>
      </c>
      <c r="E15" s="9">
        <v>4</v>
      </c>
    </row>
    <row r="16" spans="1:5">
      <c r="A16" s="10"/>
      <c r="B16" s="14" t="s">
        <v>22</v>
      </c>
      <c r="C16" s="8" t="s">
        <v>110</v>
      </c>
      <c r="D16" s="9" t="s">
        <v>135</v>
      </c>
      <c r="E16" s="9">
        <v>5</v>
      </c>
    </row>
    <row r="17" spans="1:5">
      <c r="A17" s="10"/>
      <c r="B17" s="15" t="s">
        <v>23</v>
      </c>
      <c r="C17" s="8" t="s">
        <v>105</v>
      </c>
      <c r="D17" s="9" t="s">
        <v>136</v>
      </c>
      <c r="E17" s="9">
        <v>6</v>
      </c>
    </row>
    <row r="18" spans="1:5" ht="13.5" customHeight="1">
      <c r="A18" s="10"/>
      <c r="B18" s="15" t="s">
        <v>25</v>
      </c>
      <c r="C18" s="8" t="s">
        <v>108</v>
      </c>
      <c r="D18" s="9" t="s">
        <v>137</v>
      </c>
      <c r="E18" s="9">
        <v>5</v>
      </c>
    </row>
    <row r="19" spans="1:5">
      <c r="A19" s="10"/>
      <c r="B19" s="10" t="s">
        <v>15</v>
      </c>
      <c r="C19" s="8" t="s">
        <v>113</v>
      </c>
      <c r="D19" s="9" t="s">
        <v>138</v>
      </c>
      <c r="E19" s="9">
        <v>5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1"/>
  <sheetViews>
    <sheetView showGridLines="0" workbookViewId="0">
      <pane ySplit="3" topLeftCell="A4" activePane="bottomLeft" state="frozen"/>
      <selection pane="bottomLeft" activeCell="D11" sqref="D11"/>
    </sheetView>
  </sheetViews>
  <sheetFormatPr defaultRowHeight="15"/>
  <cols>
    <col min="1" max="1" width="17.5703125" customWidth="1"/>
    <col min="2" max="2" width="14" customWidth="1"/>
    <col min="3" max="3" width="16" customWidth="1"/>
    <col min="4" max="4" width="40" customWidth="1"/>
    <col min="5" max="5" width="12" customWidth="1"/>
    <col min="6" max="6" width="14" customWidth="1"/>
    <col min="7" max="7" width="30.42578125" customWidth="1"/>
    <col min="8" max="8" width="14" customWidth="1"/>
  </cols>
  <sheetData>
    <row r="1" spans="1:8">
      <c r="A1" s="16" t="s">
        <v>139</v>
      </c>
      <c r="B1" s="17"/>
      <c r="C1" s="17"/>
      <c r="D1" s="17"/>
      <c r="E1" s="17"/>
      <c r="F1" s="17"/>
      <c r="G1" s="17"/>
      <c r="H1" s="17"/>
    </row>
    <row r="3" spans="1:8">
      <c r="A3" s="7" t="s">
        <v>140</v>
      </c>
      <c r="B3" s="7" t="s">
        <v>120</v>
      </c>
      <c r="C3" s="7" t="s">
        <v>141</v>
      </c>
      <c r="D3" s="7" t="s">
        <v>142</v>
      </c>
      <c r="E3" s="7" t="s">
        <v>143</v>
      </c>
      <c r="F3" s="7" t="s">
        <v>63</v>
      </c>
      <c r="G3" s="7" t="s">
        <v>144</v>
      </c>
      <c r="H3" s="7" t="s">
        <v>145</v>
      </c>
    </row>
    <row r="4" spans="1:8" ht="17.25" customHeight="1">
      <c r="A4" s="8" t="s">
        <v>146</v>
      </c>
      <c r="B4" s="11">
        <v>46122</v>
      </c>
      <c r="C4" s="8" t="s">
        <v>147</v>
      </c>
      <c r="D4" s="9" t="s">
        <v>148</v>
      </c>
      <c r="E4" s="9" t="s">
        <v>94</v>
      </c>
      <c r="F4" s="8" t="s">
        <v>149</v>
      </c>
      <c r="G4" s="14" t="s">
        <v>15</v>
      </c>
      <c r="H4" s="10"/>
    </row>
    <row r="5" spans="1:8" ht="17.25" customHeight="1">
      <c r="A5" s="8" t="s">
        <v>150</v>
      </c>
      <c r="B5" s="11">
        <v>46124</v>
      </c>
      <c r="C5" s="8" t="s">
        <v>151</v>
      </c>
      <c r="D5" s="9" t="s">
        <v>152</v>
      </c>
      <c r="E5" s="9" t="s">
        <v>153</v>
      </c>
      <c r="F5" s="8" t="s">
        <v>149</v>
      </c>
      <c r="G5" s="8" t="s">
        <v>15</v>
      </c>
      <c r="H5" s="10"/>
    </row>
    <row r="6" spans="1:8" ht="18" customHeight="1">
      <c r="A6" s="8" t="s">
        <v>154</v>
      </c>
      <c r="B6" s="11">
        <v>46127</v>
      </c>
      <c r="C6" s="8" t="s">
        <v>155</v>
      </c>
      <c r="D6" s="9" t="s">
        <v>156</v>
      </c>
      <c r="E6" s="9" t="s">
        <v>107</v>
      </c>
      <c r="F6" s="8" t="s">
        <v>157</v>
      </c>
      <c r="G6" s="14" t="s">
        <v>15</v>
      </c>
      <c r="H6" s="10"/>
    </row>
    <row r="7" spans="1:8" ht="17.25" customHeight="1">
      <c r="A7" s="8" t="s">
        <v>158</v>
      </c>
      <c r="B7" s="11">
        <v>46130</v>
      </c>
      <c r="C7" s="8" t="s">
        <v>159</v>
      </c>
      <c r="D7" s="9" t="s">
        <v>160</v>
      </c>
      <c r="E7" s="9" t="s">
        <v>161</v>
      </c>
      <c r="F7" s="8" t="s">
        <v>162</v>
      </c>
      <c r="G7" s="8" t="s">
        <v>15</v>
      </c>
      <c r="H7" s="10"/>
    </row>
    <row r="11" spans="1:8" ht="76.5">
      <c r="A11" s="13" t="s">
        <v>163</v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showGridLines="0" tabSelected="1" workbookViewId="0">
      <pane ySplit="3" topLeftCell="B4" activePane="bottomLeft" state="frozen"/>
      <selection pane="bottomLeft" activeCell="F7" sqref="F7"/>
    </sheetView>
  </sheetViews>
  <sheetFormatPr defaultRowHeight="15"/>
  <cols>
    <col min="1" max="1" width="15.7109375" customWidth="1"/>
    <col min="2" max="2" width="36" customWidth="1"/>
    <col min="3" max="3" width="14" customWidth="1"/>
    <col min="4" max="4" width="12" customWidth="1"/>
    <col min="5" max="5" width="34" customWidth="1"/>
    <col min="6" max="6" width="27" customWidth="1"/>
    <col min="7" max="7" width="14" customWidth="1"/>
  </cols>
  <sheetData>
    <row r="1" spans="1:7" ht="15" customHeight="1">
      <c r="A1" s="16" t="s">
        <v>164</v>
      </c>
      <c r="B1" s="16"/>
      <c r="C1" s="16"/>
      <c r="D1" s="16"/>
      <c r="E1" s="16"/>
      <c r="F1" s="16"/>
      <c r="G1" s="16"/>
    </row>
    <row r="3" spans="1:7">
      <c r="A3" s="7" t="s">
        <v>165</v>
      </c>
      <c r="B3" s="7" t="s">
        <v>166</v>
      </c>
      <c r="C3" s="7" t="s">
        <v>167</v>
      </c>
      <c r="D3" s="7" t="s">
        <v>168</v>
      </c>
      <c r="E3" s="7" t="s">
        <v>169</v>
      </c>
      <c r="F3" s="7" t="s">
        <v>62</v>
      </c>
      <c r="G3" s="7" t="s">
        <v>63</v>
      </c>
    </row>
    <row r="4" spans="1:7" ht="15" customHeight="1">
      <c r="A4" s="8" t="s">
        <v>170</v>
      </c>
      <c r="B4" s="9" t="s">
        <v>171</v>
      </c>
      <c r="C4" s="8" t="s">
        <v>94</v>
      </c>
      <c r="D4" s="9" t="s">
        <v>94</v>
      </c>
      <c r="E4" s="9" t="s">
        <v>172</v>
      </c>
      <c r="F4" s="14" t="s">
        <v>22</v>
      </c>
      <c r="G4" s="8" t="s">
        <v>149</v>
      </c>
    </row>
    <row r="5" spans="1:7" ht="19.5" customHeight="1">
      <c r="A5" s="8" t="s">
        <v>173</v>
      </c>
      <c r="B5" s="9" t="s">
        <v>174</v>
      </c>
      <c r="C5" s="8" t="s">
        <v>107</v>
      </c>
      <c r="D5" s="9" t="s">
        <v>94</v>
      </c>
      <c r="E5" s="9" t="s">
        <v>175</v>
      </c>
      <c r="F5" s="9" t="s">
        <v>11</v>
      </c>
      <c r="G5" s="8" t="s">
        <v>176</v>
      </c>
    </row>
    <row r="6" spans="1:7" ht="19.5" customHeight="1">
      <c r="A6" s="8" t="s">
        <v>177</v>
      </c>
      <c r="B6" s="9" t="s">
        <v>178</v>
      </c>
      <c r="C6" s="8" t="s">
        <v>107</v>
      </c>
      <c r="D6" s="9" t="s">
        <v>107</v>
      </c>
      <c r="E6" s="9" t="s">
        <v>179</v>
      </c>
      <c r="F6" s="15" t="s">
        <v>24</v>
      </c>
      <c r="G6" s="8" t="s">
        <v>176</v>
      </c>
    </row>
    <row r="7" spans="1:7" ht="15" customHeight="1">
      <c r="A7" s="8" t="s">
        <v>180</v>
      </c>
      <c r="B7" s="9" t="s">
        <v>181</v>
      </c>
      <c r="C7" s="8" t="s">
        <v>107</v>
      </c>
      <c r="D7" s="9" t="s">
        <v>94</v>
      </c>
      <c r="E7" s="9" t="s">
        <v>182</v>
      </c>
      <c r="F7" s="9" t="s">
        <v>15</v>
      </c>
      <c r="G7" s="8" t="s">
        <v>149</v>
      </c>
    </row>
    <row r="11" spans="1:7" ht="91.5">
      <c r="A11" s="13" t="s">
        <v>163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"/>
  <sheetViews>
    <sheetView showGridLines="0" workbookViewId="0">
      <pane ySplit="3" topLeftCell="A4" activePane="bottomLeft" state="frozen"/>
      <selection pane="bottomLeft" activeCell="A18" sqref="A18"/>
    </sheetView>
  </sheetViews>
  <sheetFormatPr defaultRowHeight="15"/>
  <cols>
    <col min="1" max="1" width="15.7109375" customWidth="1"/>
    <col min="2" max="2" width="34" customWidth="1"/>
    <col min="3" max="3" width="16" customWidth="1"/>
    <col min="4" max="4" width="18" customWidth="1"/>
    <col min="5" max="5" width="24" customWidth="1"/>
  </cols>
  <sheetData>
    <row r="1" spans="1:5">
      <c r="A1" s="16" t="s">
        <v>183</v>
      </c>
      <c r="B1" s="17"/>
      <c r="C1" s="17"/>
      <c r="D1" s="17"/>
      <c r="E1" s="17"/>
    </row>
    <row r="3" spans="1:5">
      <c r="A3" s="7" t="s">
        <v>5</v>
      </c>
      <c r="B3" s="7" t="s">
        <v>184</v>
      </c>
      <c r="C3" s="7" t="s">
        <v>185</v>
      </c>
      <c r="D3" s="7" t="s">
        <v>17</v>
      </c>
      <c r="E3" s="7" t="s">
        <v>186</v>
      </c>
    </row>
    <row r="4" spans="1:5">
      <c r="A4" s="8">
        <v>1</v>
      </c>
      <c r="B4" s="9" t="s">
        <v>187</v>
      </c>
      <c r="C4" s="8">
        <v>32</v>
      </c>
      <c r="D4" s="9">
        <v>0</v>
      </c>
      <c r="E4" s="9" t="s">
        <v>188</v>
      </c>
    </row>
    <row r="5" spans="1:5">
      <c r="A5" s="8">
        <v>2</v>
      </c>
      <c r="B5" s="9" t="s">
        <v>189</v>
      </c>
      <c r="C5" s="8">
        <v>36</v>
      </c>
      <c r="D5" s="9">
        <v>0</v>
      </c>
      <c r="E5" s="9" t="s">
        <v>190</v>
      </c>
    </row>
    <row r="6" spans="1:5">
      <c r="A6" s="8">
        <v>3</v>
      </c>
      <c r="B6" s="9" t="s">
        <v>69</v>
      </c>
      <c r="C6" s="8">
        <v>42</v>
      </c>
      <c r="D6" s="9">
        <v>0</v>
      </c>
      <c r="E6" s="9" t="s">
        <v>191</v>
      </c>
    </row>
    <row r="7" spans="1:5">
      <c r="A7" s="8">
        <v>4</v>
      </c>
      <c r="B7" s="9" t="s">
        <v>192</v>
      </c>
      <c r="C7" s="8">
        <v>38</v>
      </c>
      <c r="D7" s="9">
        <v>1</v>
      </c>
      <c r="E7" s="9" t="s">
        <v>193</v>
      </c>
    </row>
    <row r="8" spans="1:5">
      <c r="A8" s="8">
        <v>5</v>
      </c>
      <c r="B8" s="9" t="s">
        <v>194</v>
      </c>
      <c r="C8" s="8">
        <v>44</v>
      </c>
      <c r="D8" s="9">
        <v>2</v>
      </c>
      <c r="E8" s="9" t="s">
        <v>195</v>
      </c>
    </row>
    <row r="9" spans="1:5">
      <c r="A9" s="8">
        <v>6</v>
      </c>
      <c r="B9" s="9" t="s">
        <v>196</v>
      </c>
      <c r="C9" s="8">
        <v>46</v>
      </c>
      <c r="D9" s="9">
        <v>1</v>
      </c>
      <c r="E9" s="9" t="s">
        <v>197</v>
      </c>
    </row>
    <row r="10" spans="1:5">
      <c r="A10" s="8">
        <v>7</v>
      </c>
      <c r="B10" s="9" t="s">
        <v>198</v>
      </c>
      <c r="C10" s="8">
        <v>48</v>
      </c>
      <c r="D10" s="9">
        <v>2</v>
      </c>
      <c r="E10" s="9" t="s">
        <v>199</v>
      </c>
    </row>
    <row r="11" spans="1:5">
      <c r="A11" s="8">
        <v>8</v>
      </c>
      <c r="B11" s="9" t="s">
        <v>200</v>
      </c>
      <c r="C11" s="8">
        <v>50</v>
      </c>
      <c r="D11" s="9">
        <v>2</v>
      </c>
      <c r="E11" s="9" t="s">
        <v>201</v>
      </c>
    </row>
    <row r="12" spans="1:5">
      <c r="A12" s="8">
        <v>9</v>
      </c>
      <c r="B12" s="9" t="s">
        <v>78</v>
      </c>
      <c r="C12" s="8">
        <v>40</v>
      </c>
      <c r="D12" s="9">
        <v>3</v>
      </c>
      <c r="E12" s="9" t="s">
        <v>202</v>
      </c>
    </row>
    <row r="13" spans="1:5">
      <c r="A13" s="8">
        <v>10</v>
      </c>
      <c r="B13" s="9" t="s">
        <v>203</v>
      </c>
      <c r="C13" s="8">
        <v>36</v>
      </c>
      <c r="D13" s="9">
        <v>4</v>
      </c>
      <c r="E13" s="9" t="s">
        <v>204</v>
      </c>
    </row>
    <row r="14" spans="1:5">
      <c r="A14" s="8">
        <v>11</v>
      </c>
      <c r="B14" s="9" t="s">
        <v>205</v>
      </c>
      <c r="C14" s="8">
        <v>34</v>
      </c>
      <c r="D14" s="9">
        <v>2</v>
      </c>
      <c r="E14" s="9" t="s">
        <v>206</v>
      </c>
    </row>
    <row r="15" spans="1:5">
      <c r="A15" s="8">
        <v>12</v>
      </c>
      <c r="B15" s="9" t="s">
        <v>207</v>
      </c>
      <c r="C15" s="8">
        <v>30</v>
      </c>
      <c r="D15" s="9">
        <v>1</v>
      </c>
      <c r="E15" s="9" t="s">
        <v>208</v>
      </c>
    </row>
    <row r="18" spans="1:1" ht="137.25">
      <c r="A18" s="13" t="s">
        <v>163</v>
      </c>
    </row>
  </sheetData>
  <mergeCells count="1">
    <mergeCell ref="A1:E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2026-03-13T19:40:23Z</dcterms:created>
  <dcterms:modified xsi:type="dcterms:W3CDTF">2026-03-27T11:43:43Z</dcterms:modified>
  <cp:category/>
  <cp:contentStatus/>
</cp:coreProperties>
</file>